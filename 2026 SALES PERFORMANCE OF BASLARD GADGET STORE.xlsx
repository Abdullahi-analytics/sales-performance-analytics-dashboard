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A00A28E0-268D-4274-ACAA-ACFAB6456E58}" xr6:coauthVersionLast="47" xr6:coauthVersionMax="47" xr10:uidLastSave="{00000000-0000-0000-0000-000000000000}"/>
  <bookViews>
    <workbookView xWindow="-120" yWindow="-120" windowWidth="20730" windowHeight="11040" activeTab="1" xr2:uid="{00000000-000D-0000-FFFF-FFFF00000000}"/>
  </bookViews>
  <sheets>
    <sheet name="Pivort" sheetId="5" r:id="rId1"/>
    <sheet name="Dashboard" sheetId="6" r:id="rId2"/>
    <sheet name="Sales Data" sheetId="1" r:id="rId3"/>
    <sheet name="Initial Data" sheetId="2" r:id="rId4"/>
  </sheets>
  <definedNames>
    <definedName name="_xlnm._FilterDatabase" localSheetId="2" hidden="1">'Sales Data'!$R$11:$V$11</definedName>
    <definedName name="_xlcn.WorksheetConnection_2026SALESPERFORMANCEOFBASLARDGADGETSTORE.xlsxTable11" hidden="1">Table1[]</definedName>
    <definedName name="Slicer_Category">#N/A</definedName>
    <definedName name="Slicer_Gender">#N/A</definedName>
    <definedName name="Slicer_Month">#N/A</definedName>
    <definedName name="Slicer_PaymentMethod">#N/A</definedName>
    <definedName name="Slicer_Region">#N/A</definedName>
    <definedName name="Slicer_Salesperson">#N/A</definedName>
  </definedNames>
  <calcPr calcId="181029"/>
  <pivotCaches>
    <pivotCache cacheId="0" r:id="rId5"/>
    <pivotCache cacheId="11" r:id="rId6"/>
  </pivotCaches>
  <extLst>
    <ext xmlns:x14="http://schemas.microsoft.com/office/spreadsheetml/2009/9/main" uri="{876F7934-8845-4945-9796-88D515C7AA90}">
      <x14:pivotCaches>
        <pivotCache cacheId="2" r:id="rId7"/>
      </x14:pivotCaches>
    </ex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2026 SALES PERFORMANCE OF BASLARD GADGET STORE.xlsx!Table1"/>
        </x15:modelTables>
      </x15:dataModel>
    </ext>
  </extLst>
</workbook>
</file>

<file path=xl/calcChain.xml><?xml version="1.0" encoding="utf-8"?>
<calcChain xmlns="http://schemas.openxmlformats.org/spreadsheetml/2006/main">
  <c r="R26" i="1" l="1"/>
  <c r="R34" i="1"/>
  <c r="R58" i="1"/>
  <c r="R66" i="1"/>
  <c r="R90" i="1"/>
  <c r="R98" i="1"/>
  <c r="R122" i="1"/>
  <c r="R130" i="1"/>
  <c r="R154" i="1"/>
  <c r="R162" i="1"/>
  <c r="R178" i="1"/>
  <c r="R184" i="1"/>
  <c r="R226" i="1"/>
  <c r="R242" i="1"/>
  <c r="R248" i="1"/>
  <c r="R290" i="1"/>
  <c r="R306" i="1"/>
  <c r="R312" i="1"/>
  <c r="R351" i="1"/>
  <c r="R367" i="1"/>
  <c r="R383" i="1"/>
  <c r="R399" i="1"/>
  <c r="R415" i="1"/>
  <c r="R431" i="1"/>
  <c r="R447" i="1"/>
  <c r="R463" i="1"/>
  <c r="R470" i="1"/>
  <c r="R474" i="1"/>
  <c r="R478" i="1"/>
  <c r="R482" i="1"/>
  <c r="R486" i="1"/>
  <c r="R490" i="1"/>
  <c r="R494" i="1"/>
  <c r="R498" i="1"/>
  <c r="R2" i="1"/>
  <c r="Q2" i="1"/>
  <c r="Q3" i="1"/>
  <c r="R3" i="1" s="1"/>
  <c r="Q4" i="1"/>
  <c r="R4" i="1" s="1"/>
  <c r="Q5" i="1"/>
  <c r="R5" i="1" s="1"/>
  <c r="Q6" i="1"/>
  <c r="R6" i="1" s="1"/>
  <c r="Q7" i="1"/>
  <c r="R7" i="1" s="1"/>
  <c r="Q8" i="1"/>
  <c r="R8" i="1" s="1"/>
  <c r="Q9" i="1"/>
  <c r="R9" i="1" s="1"/>
  <c r="Q10" i="1"/>
  <c r="R10" i="1" s="1"/>
  <c r="Q11" i="1"/>
  <c r="R11" i="1" s="1"/>
  <c r="Q12" i="1"/>
  <c r="R12" i="1" s="1"/>
  <c r="Q13" i="1"/>
  <c r="R13" i="1" s="1"/>
  <c r="Q14" i="1"/>
  <c r="R14" i="1" s="1"/>
  <c r="Q15" i="1"/>
  <c r="R15" i="1" s="1"/>
  <c r="Q16" i="1"/>
  <c r="R16" i="1" s="1"/>
  <c r="Q17" i="1"/>
  <c r="R17" i="1" s="1"/>
  <c r="Q18" i="1"/>
  <c r="R18" i="1" s="1"/>
  <c r="Q19" i="1"/>
  <c r="R19" i="1" s="1"/>
  <c r="Q20" i="1"/>
  <c r="R20" i="1" s="1"/>
  <c r="Q21" i="1"/>
  <c r="R21" i="1" s="1"/>
  <c r="Q22" i="1"/>
  <c r="R22" i="1" s="1"/>
  <c r="Q23" i="1"/>
  <c r="R23" i="1" s="1"/>
  <c r="Q24" i="1"/>
  <c r="R24" i="1" s="1"/>
  <c r="Q25" i="1"/>
  <c r="R25" i="1" s="1"/>
  <c r="Q26" i="1"/>
  <c r="Q27" i="1"/>
  <c r="R27" i="1" s="1"/>
  <c r="Q28" i="1"/>
  <c r="R28" i="1" s="1"/>
  <c r="Q29" i="1"/>
  <c r="R29" i="1" s="1"/>
  <c r="Q30" i="1"/>
  <c r="R30" i="1" s="1"/>
  <c r="Q31" i="1"/>
  <c r="R31" i="1" s="1"/>
  <c r="Q32" i="1"/>
  <c r="R32" i="1" s="1"/>
  <c r="Q33" i="1"/>
  <c r="R33" i="1" s="1"/>
  <c r="Q34" i="1"/>
  <c r="Q35" i="1"/>
  <c r="R35" i="1" s="1"/>
  <c r="Q36" i="1"/>
  <c r="R36" i="1" s="1"/>
  <c r="Q37" i="1"/>
  <c r="R37" i="1" s="1"/>
  <c r="Q38" i="1"/>
  <c r="R38" i="1" s="1"/>
  <c r="Q39" i="1"/>
  <c r="R39" i="1" s="1"/>
  <c r="Q40" i="1"/>
  <c r="R40" i="1" s="1"/>
  <c r="Q41" i="1"/>
  <c r="R41" i="1" s="1"/>
  <c r="Q42" i="1"/>
  <c r="R42" i="1" s="1"/>
  <c r="Q43" i="1"/>
  <c r="R43" i="1" s="1"/>
  <c r="Q44" i="1"/>
  <c r="R44" i="1" s="1"/>
  <c r="Q45" i="1"/>
  <c r="R45" i="1" s="1"/>
  <c r="Q46" i="1"/>
  <c r="R46" i="1" s="1"/>
  <c r="Q47" i="1"/>
  <c r="R47" i="1" s="1"/>
  <c r="Q48" i="1"/>
  <c r="R48" i="1" s="1"/>
  <c r="Q49" i="1"/>
  <c r="R49" i="1" s="1"/>
  <c r="Q50" i="1"/>
  <c r="R50" i="1" s="1"/>
  <c r="Q51" i="1"/>
  <c r="R51" i="1" s="1"/>
  <c r="Q52" i="1"/>
  <c r="R52" i="1" s="1"/>
  <c r="Q53" i="1"/>
  <c r="R53" i="1" s="1"/>
  <c r="Q54" i="1"/>
  <c r="R54" i="1" s="1"/>
  <c r="Q55" i="1"/>
  <c r="R55" i="1" s="1"/>
  <c r="Q56" i="1"/>
  <c r="R56" i="1" s="1"/>
  <c r="Q57" i="1"/>
  <c r="R57" i="1" s="1"/>
  <c r="Q58" i="1"/>
  <c r="Q59" i="1"/>
  <c r="R59" i="1" s="1"/>
  <c r="Q60" i="1"/>
  <c r="R60" i="1" s="1"/>
  <c r="Q61" i="1"/>
  <c r="R61" i="1" s="1"/>
  <c r="Q62" i="1"/>
  <c r="R62" i="1" s="1"/>
  <c r="Q63" i="1"/>
  <c r="R63" i="1" s="1"/>
  <c r="Q64" i="1"/>
  <c r="R64" i="1" s="1"/>
  <c r="Q65" i="1"/>
  <c r="R65" i="1" s="1"/>
  <c r="Q66" i="1"/>
  <c r="Q67" i="1"/>
  <c r="R67" i="1" s="1"/>
  <c r="Q68" i="1"/>
  <c r="R68" i="1" s="1"/>
  <c r="Q69" i="1"/>
  <c r="R69" i="1" s="1"/>
  <c r="Q70" i="1"/>
  <c r="R70" i="1" s="1"/>
  <c r="Q71" i="1"/>
  <c r="R71" i="1" s="1"/>
  <c r="Q72" i="1"/>
  <c r="R72" i="1" s="1"/>
  <c r="Q73" i="1"/>
  <c r="R73" i="1" s="1"/>
  <c r="Q74" i="1"/>
  <c r="R74" i="1" s="1"/>
  <c r="Q75" i="1"/>
  <c r="R75" i="1" s="1"/>
  <c r="Q76" i="1"/>
  <c r="R76" i="1" s="1"/>
  <c r="Q77" i="1"/>
  <c r="R77" i="1" s="1"/>
  <c r="Q78" i="1"/>
  <c r="R78" i="1" s="1"/>
  <c r="Q79" i="1"/>
  <c r="R79" i="1" s="1"/>
  <c r="Q80" i="1"/>
  <c r="R80" i="1" s="1"/>
  <c r="Q81" i="1"/>
  <c r="R81" i="1" s="1"/>
  <c r="Q82" i="1"/>
  <c r="R82" i="1" s="1"/>
  <c r="Q83" i="1"/>
  <c r="R83" i="1" s="1"/>
  <c r="Q84" i="1"/>
  <c r="R84" i="1" s="1"/>
  <c r="Q85" i="1"/>
  <c r="R85" i="1" s="1"/>
  <c r="Q86" i="1"/>
  <c r="R86" i="1" s="1"/>
  <c r="Q87" i="1"/>
  <c r="R87" i="1" s="1"/>
  <c r="Q88" i="1"/>
  <c r="R88" i="1" s="1"/>
  <c r="Q89" i="1"/>
  <c r="R89" i="1" s="1"/>
  <c r="Q90" i="1"/>
  <c r="Q91" i="1"/>
  <c r="R91" i="1" s="1"/>
  <c r="Q92" i="1"/>
  <c r="R92" i="1" s="1"/>
  <c r="Q93" i="1"/>
  <c r="R93" i="1" s="1"/>
  <c r="Q94" i="1"/>
  <c r="R94" i="1" s="1"/>
  <c r="Q95" i="1"/>
  <c r="R95" i="1" s="1"/>
  <c r="Q96" i="1"/>
  <c r="R96" i="1" s="1"/>
  <c r="Q97" i="1"/>
  <c r="R97" i="1" s="1"/>
  <c r="Q98" i="1"/>
  <c r="Q99" i="1"/>
  <c r="R99" i="1" s="1"/>
  <c r="Q100" i="1"/>
  <c r="R100" i="1" s="1"/>
  <c r="Q101" i="1"/>
  <c r="R101" i="1" s="1"/>
  <c r="Q102" i="1"/>
  <c r="R102" i="1" s="1"/>
  <c r="Q103" i="1"/>
  <c r="R103" i="1" s="1"/>
  <c r="Q104" i="1"/>
  <c r="R104" i="1" s="1"/>
  <c r="Q105" i="1"/>
  <c r="R105" i="1" s="1"/>
  <c r="Q106" i="1"/>
  <c r="R106" i="1" s="1"/>
  <c r="Q107" i="1"/>
  <c r="R107" i="1" s="1"/>
  <c r="Q108" i="1"/>
  <c r="R108" i="1" s="1"/>
  <c r="Q109" i="1"/>
  <c r="R109" i="1" s="1"/>
  <c r="Q110" i="1"/>
  <c r="R110" i="1" s="1"/>
  <c r="Q111" i="1"/>
  <c r="R111" i="1" s="1"/>
  <c r="Q112" i="1"/>
  <c r="R112" i="1" s="1"/>
  <c r="Q113" i="1"/>
  <c r="R113" i="1" s="1"/>
  <c r="Q114" i="1"/>
  <c r="R114" i="1" s="1"/>
  <c r="Q115" i="1"/>
  <c r="R115" i="1" s="1"/>
  <c r="Q116" i="1"/>
  <c r="R116" i="1" s="1"/>
  <c r="Q117" i="1"/>
  <c r="R117" i="1" s="1"/>
  <c r="Q118" i="1"/>
  <c r="R118" i="1" s="1"/>
  <c r="Q119" i="1"/>
  <c r="R119" i="1" s="1"/>
  <c r="Q120" i="1"/>
  <c r="R120" i="1" s="1"/>
  <c r="Q121" i="1"/>
  <c r="R121" i="1" s="1"/>
  <c r="Q122" i="1"/>
  <c r="Q123" i="1"/>
  <c r="R123" i="1" s="1"/>
  <c r="Q124" i="1"/>
  <c r="R124" i="1" s="1"/>
  <c r="Q125" i="1"/>
  <c r="R125" i="1" s="1"/>
  <c r="Q126" i="1"/>
  <c r="R126" i="1" s="1"/>
  <c r="Q127" i="1"/>
  <c r="R127" i="1" s="1"/>
  <c r="Q128" i="1"/>
  <c r="R128" i="1" s="1"/>
  <c r="Q129" i="1"/>
  <c r="R129" i="1" s="1"/>
  <c r="Q130" i="1"/>
  <c r="Q131" i="1"/>
  <c r="R131" i="1" s="1"/>
  <c r="Q132" i="1"/>
  <c r="R132" i="1" s="1"/>
  <c r="Q133" i="1"/>
  <c r="R133" i="1" s="1"/>
  <c r="Q134" i="1"/>
  <c r="R134" i="1" s="1"/>
  <c r="Q135" i="1"/>
  <c r="R135" i="1" s="1"/>
  <c r="Q136" i="1"/>
  <c r="R136" i="1" s="1"/>
  <c r="Q137" i="1"/>
  <c r="R137" i="1" s="1"/>
  <c r="Q138" i="1"/>
  <c r="R138" i="1" s="1"/>
  <c r="Q139" i="1"/>
  <c r="R139" i="1" s="1"/>
  <c r="Q140" i="1"/>
  <c r="R140" i="1" s="1"/>
  <c r="Q141" i="1"/>
  <c r="R141" i="1" s="1"/>
  <c r="Q142" i="1"/>
  <c r="R142" i="1" s="1"/>
  <c r="Q143" i="1"/>
  <c r="R143" i="1" s="1"/>
  <c r="Q144" i="1"/>
  <c r="R144" i="1" s="1"/>
  <c r="Q145" i="1"/>
  <c r="R145" i="1" s="1"/>
  <c r="Q146" i="1"/>
  <c r="R146" i="1" s="1"/>
  <c r="Q147" i="1"/>
  <c r="R147" i="1" s="1"/>
  <c r="Q148" i="1"/>
  <c r="R148" i="1" s="1"/>
  <c r="Q149" i="1"/>
  <c r="R149" i="1" s="1"/>
  <c r="Q150" i="1"/>
  <c r="R150" i="1" s="1"/>
  <c r="Q151" i="1"/>
  <c r="R151" i="1" s="1"/>
  <c r="Q152" i="1"/>
  <c r="R152" i="1" s="1"/>
  <c r="Q153" i="1"/>
  <c r="R153" i="1" s="1"/>
  <c r="Q154" i="1"/>
  <c r="Q155" i="1"/>
  <c r="R155" i="1" s="1"/>
  <c r="Q156" i="1"/>
  <c r="R156" i="1" s="1"/>
  <c r="Q157" i="1"/>
  <c r="R157" i="1" s="1"/>
  <c r="Q158" i="1"/>
  <c r="R158" i="1" s="1"/>
  <c r="Q159" i="1"/>
  <c r="R159" i="1" s="1"/>
  <c r="Q160" i="1"/>
  <c r="R160" i="1" s="1"/>
  <c r="Q161" i="1"/>
  <c r="R161" i="1" s="1"/>
  <c r="Q162" i="1"/>
  <c r="Q163" i="1"/>
  <c r="R163" i="1" s="1"/>
  <c r="Q164" i="1"/>
  <c r="R164" i="1" s="1"/>
  <c r="Q165" i="1"/>
  <c r="R165" i="1" s="1"/>
  <c r="Q166" i="1"/>
  <c r="R166" i="1" s="1"/>
  <c r="Q167" i="1"/>
  <c r="R167" i="1" s="1"/>
  <c r="Q168" i="1"/>
  <c r="R168" i="1" s="1"/>
  <c r="Q169" i="1"/>
  <c r="R169" i="1" s="1"/>
  <c r="Q170" i="1"/>
  <c r="R170" i="1" s="1"/>
  <c r="Q171" i="1"/>
  <c r="R171" i="1" s="1"/>
  <c r="Q172" i="1"/>
  <c r="R172" i="1" s="1"/>
  <c r="Q173" i="1"/>
  <c r="R173" i="1" s="1"/>
  <c r="Q174" i="1"/>
  <c r="R174" i="1" s="1"/>
  <c r="Q175" i="1"/>
  <c r="R175" i="1" s="1"/>
  <c r="Q176" i="1"/>
  <c r="R176" i="1" s="1"/>
  <c r="Q177" i="1"/>
  <c r="R177" i="1" s="1"/>
  <c r="Q178" i="1"/>
  <c r="Q179" i="1"/>
  <c r="R179" i="1" s="1"/>
  <c r="Q180" i="1"/>
  <c r="R180" i="1" s="1"/>
  <c r="Q181" i="1"/>
  <c r="R181" i="1" s="1"/>
  <c r="Q182" i="1"/>
  <c r="R182" i="1" s="1"/>
  <c r="Q183" i="1"/>
  <c r="R183" i="1" s="1"/>
  <c r="Q184" i="1"/>
  <c r="Q185" i="1"/>
  <c r="R185" i="1" s="1"/>
  <c r="Q186" i="1"/>
  <c r="R186" i="1" s="1"/>
  <c r="Q187" i="1"/>
  <c r="R187" i="1" s="1"/>
  <c r="Q188" i="1"/>
  <c r="R188" i="1" s="1"/>
  <c r="Q189" i="1"/>
  <c r="R189" i="1" s="1"/>
  <c r="Q190" i="1"/>
  <c r="R190" i="1" s="1"/>
  <c r="Q191" i="1"/>
  <c r="R191" i="1" s="1"/>
  <c r="Q192" i="1"/>
  <c r="R192" i="1" s="1"/>
  <c r="Q193" i="1"/>
  <c r="R193" i="1" s="1"/>
  <c r="Q194" i="1"/>
  <c r="R194" i="1" s="1"/>
  <c r="Q195" i="1"/>
  <c r="R195" i="1" s="1"/>
  <c r="Q196" i="1"/>
  <c r="R196" i="1" s="1"/>
  <c r="Q197" i="1"/>
  <c r="R197" i="1" s="1"/>
  <c r="Q198" i="1"/>
  <c r="R198" i="1" s="1"/>
  <c r="Q199" i="1"/>
  <c r="R199" i="1" s="1"/>
  <c r="Q200" i="1"/>
  <c r="R200" i="1" s="1"/>
  <c r="Q201" i="1"/>
  <c r="R201" i="1" s="1"/>
  <c r="Q202" i="1"/>
  <c r="R202" i="1" s="1"/>
  <c r="Q203" i="1"/>
  <c r="R203" i="1" s="1"/>
  <c r="Q204" i="1"/>
  <c r="R204" i="1" s="1"/>
  <c r="Q205" i="1"/>
  <c r="R205" i="1" s="1"/>
  <c r="Q206" i="1"/>
  <c r="R206" i="1" s="1"/>
  <c r="Q207" i="1"/>
  <c r="R207" i="1" s="1"/>
  <c r="Q208" i="1"/>
  <c r="R208" i="1" s="1"/>
  <c r="Q209" i="1"/>
  <c r="R209" i="1" s="1"/>
  <c r="Q210" i="1"/>
  <c r="R210" i="1" s="1"/>
  <c r="Q211" i="1"/>
  <c r="R211" i="1" s="1"/>
  <c r="Q212" i="1"/>
  <c r="R212" i="1" s="1"/>
  <c r="Q213" i="1"/>
  <c r="R213" i="1" s="1"/>
  <c r="Q214" i="1"/>
  <c r="R214" i="1" s="1"/>
  <c r="Q215" i="1"/>
  <c r="R215" i="1" s="1"/>
  <c r="Q216" i="1"/>
  <c r="R216" i="1" s="1"/>
  <c r="Q217" i="1"/>
  <c r="R217" i="1" s="1"/>
  <c r="Q218" i="1"/>
  <c r="R218" i="1" s="1"/>
  <c r="Q219" i="1"/>
  <c r="R219" i="1" s="1"/>
  <c r="Q220" i="1"/>
  <c r="R220" i="1" s="1"/>
  <c r="Q221" i="1"/>
  <c r="R221" i="1" s="1"/>
  <c r="Q222" i="1"/>
  <c r="R222" i="1" s="1"/>
  <c r="Q223" i="1"/>
  <c r="R223" i="1" s="1"/>
  <c r="Q224" i="1"/>
  <c r="R224" i="1" s="1"/>
  <c r="Q225" i="1"/>
  <c r="R225" i="1" s="1"/>
  <c r="Q226" i="1"/>
  <c r="Q227" i="1"/>
  <c r="R227" i="1" s="1"/>
  <c r="Q228" i="1"/>
  <c r="R228" i="1" s="1"/>
  <c r="Q229" i="1"/>
  <c r="R229" i="1" s="1"/>
  <c r="Q230" i="1"/>
  <c r="R230" i="1" s="1"/>
  <c r="Q231" i="1"/>
  <c r="R231" i="1" s="1"/>
  <c r="Q232" i="1"/>
  <c r="R232" i="1" s="1"/>
  <c r="Q233" i="1"/>
  <c r="R233" i="1" s="1"/>
  <c r="Q234" i="1"/>
  <c r="R234" i="1" s="1"/>
  <c r="Q235" i="1"/>
  <c r="R235" i="1" s="1"/>
  <c r="Q236" i="1"/>
  <c r="R236" i="1" s="1"/>
  <c r="Q237" i="1"/>
  <c r="R237" i="1" s="1"/>
  <c r="Q238" i="1"/>
  <c r="R238" i="1" s="1"/>
  <c r="Q239" i="1"/>
  <c r="R239" i="1" s="1"/>
  <c r="Q240" i="1"/>
  <c r="R240" i="1" s="1"/>
  <c r="Q241" i="1"/>
  <c r="R241" i="1" s="1"/>
  <c r="Q242" i="1"/>
  <c r="Q243" i="1"/>
  <c r="R243" i="1" s="1"/>
  <c r="Q244" i="1"/>
  <c r="R244" i="1" s="1"/>
  <c r="Q245" i="1"/>
  <c r="R245" i="1" s="1"/>
  <c r="Q246" i="1"/>
  <c r="R246" i="1" s="1"/>
  <c r="Q247" i="1"/>
  <c r="R247" i="1" s="1"/>
  <c r="Q248" i="1"/>
  <c r="Q249" i="1"/>
  <c r="R249" i="1" s="1"/>
  <c r="Q250" i="1"/>
  <c r="R250" i="1" s="1"/>
  <c r="Q251" i="1"/>
  <c r="R251" i="1" s="1"/>
  <c r="Q252" i="1"/>
  <c r="R252" i="1" s="1"/>
  <c r="Q253" i="1"/>
  <c r="R253" i="1" s="1"/>
  <c r="Q254" i="1"/>
  <c r="R254" i="1" s="1"/>
  <c r="Q255" i="1"/>
  <c r="R255" i="1" s="1"/>
  <c r="Q256" i="1"/>
  <c r="R256" i="1" s="1"/>
  <c r="Q257" i="1"/>
  <c r="R257" i="1" s="1"/>
  <c r="Q258" i="1"/>
  <c r="R258" i="1" s="1"/>
  <c r="Q259" i="1"/>
  <c r="R259" i="1" s="1"/>
  <c r="Q260" i="1"/>
  <c r="R260" i="1" s="1"/>
  <c r="Q261" i="1"/>
  <c r="R261" i="1" s="1"/>
  <c r="Q262" i="1"/>
  <c r="R262" i="1" s="1"/>
  <c r="Q263" i="1"/>
  <c r="R263" i="1" s="1"/>
  <c r="Q264" i="1"/>
  <c r="R264" i="1" s="1"/>
  <c r="Q265" i="1"/>
  <c r="R265" i="1" s="1"/>
  <c r="Q266" i="1"/>
  <c r="R266" i="1" s="1"/>
  <c r="Q267" i="1"/>
  <c r="R267" i="1" s="1"/>
  <c r="Q268" i="1"/>
  <c r="R268" i="1" s="1"/>
  <c r="Q269" i="1"/>
  <c r="R269" i="1" s="1"/>
  <c r="Q270" i="1"/>
  <c r="R270" i="1" s="1"/>
  <c r="Q271" i="1"/>
  <c r="R271" i="1" s="1"/>
  <c r="Q272" i="1"/>
  <c r="R272" i="1" s="1"/>
  <c r="Q273" i="1"/>
  <c r="R273" i="1" s="1"/>
  <c r="Q274" i="1"/>
  <c r="R274" i="1" s="1"/>
  <c r="Q275" i="1"/>
  <c r="R275" i="1" s="1"/>
  <c r="Q276" i="1"/>
  <c r="R276" i="1" s="1"/>
  <c r="Q277" i="1"/>
  <c r="R277" i="1" s="1"/>
  <c r="Q278" i="1"/>
  <c r="R278" i="1" s="1"/>
  <c r="Q279" i="1"/>
  <c r="R279" i="1" s="1"/>
  <c r="Q280" i="1"/>
  <c r="R280" i="1" s="1"/>
  <c r="Q281" i="1"/>
  <c r="R281" i="1" s="1"/>
  <c r="Q282" i="1"/>
  <c r="R282" i="1" s="1"/>
  <c r="Q283" i="1"/>
  <c r="R283" i="1" s="1"/>
  <c r="Q284" i="1"/>
  <c r="R284" i="1" s="1"/>
  <c r="Q285" i="1"/>
  <c r="R285" i="1" s="1"/>
  <c r="Q286" i="1"/>
  <c r="R286" i="1" s="1"/>
  <c r="Q287" i="1"/>
  <c r="R287" i="1" s="1"/>
  <c r="Q288" i="1"/>
  <c r="R288" i="1" s="1"/>
  <c r="Q289" i="1"/>
  <c r="R289" i="1" s="1"/>
  <c r="Q290" i="1"/>
  <c r="Q291" i="1"/>
  <c r="R291" i="1" s="1"/>
  <c r="Q292" i="1"/>
  <c r="R292" i="1" s="1"/>
  <c r="Q293" i="1"/>
  <c r="R293" i="1" s="1"/>
  <c r="Q294" i="1"/>
  <c r="R294" i="1" s="1"/>
  <c r="Q295" i="1"/>
  <c r="R295" i="1" s="1"/>
  <c r="Q296" i="1"/>
  <c r="R296" i="1" s="1"/>
  <c r="Q297" i="1"/>
  <c r="R297" i="1" s="1"/>
  <c r="Q298" i="1"/>
  <c r="R298" i="1" s="1"/>
  <c r="Q299" i="1"/>
  <c r="R299" i="1" s="1"/>
  <c r="Q300" i="1"/>
  <c r="R300" i="1" s="1"/>
  <c r="Q301" i="1"/>
  <c r="R301" i="1" s="1"/>
  <c r="Q302" i="1"/>
  <c r="R302" i="1" s="1"/>
  <c r="Q303" i="1"/>
  <c r="R303" i="1" s="1"/>
  <c r="Q304" i="1"/>
  <c r="R304" i="1" s="1"/>
  <c r="Q305" i="1"/>
  <c r="R305" i="1" s="1"/>
  <c r="Q306" i="1"/>
  <c r="Q307" i="1"/>
  <c r="R307" i="1" s="1"/>
  <c r="Q308" i="1"/>
  <c r="R308" i="1" s="1"/>
  <c r="Q309" i="1"/>
  <c r="R309" i="1" s="1"/>
  <c r="Q310" i="1"/>
  <c r="R310" i="1" s="1"/>
  <c r="Q311" i="1"/>
  <c r="R311" i="1" s="1"/>
  <c r="Q312" i="1"/>
  <c r="Q313" i="1"/>
  <c r="R313" i="1" s="1"/>
  <c r="Q314" i="1"/>
  <c r="R314" i="1" s="1"/>
  <c r="Q315" i="1"/>
  <c r="R315" i="1" s="1"/>
  <c r="Q316" i="1"/>
  <c r="R316" i="1" s="1"/>
  <c r="Q317" i="1"/>
  <c r="R317" i="1" s="1"/>
  <c r="Q318" i="1"/>
  <c r="R318" i="1" s="1"/>
  <c r="Q319" i="1"/>
  <c r="R319" i="1" s="1"/>
  <c r="Q320" i="1"/>
  <c r="R320" i="1" s="1"/>
  <c r="Q321" i="1"/>
  <c r="R321" i="1" s="1"/>
  <c r="Q322" i="1"/>
  <c r="R322" i="1" s="1"/>
  <c r="Q323" i="1"/>
  <c r="R323" i="1" s="1"/>
  <c r="Q324" i="1"/>
  <c r="R324" i="1" s="1"/>
  <c r="Q325" i="1"/>
  <c r="R325" i="1" s="1"/>
  <c r="Q326" i="1"/>
  <c r="R326" i="1" s="1"/>
  <c r="Q327" i="1"/>
  <c r="R327" i="1" s="1"/>
  <c r="Q328" i="1"/>
  <c r="R328" i="1" s="1"/>
  <c r="Q329" i="1"/>
  <c r="R329" i="1" s="1"/>
  <c r="Q330" i="1"/>
  <c r="R330" i="1" s="1"/>
  <c r="Q331" i="1"/>
  <c r="R331" i="1" s="1"/>
  <c r="Q332" i="1"/>
  <c r="R332" i="1" s="1"/>
  <c r="Q333" i="1"/>
  <c r="R333" i="1" s="1"/>
  <c r="Q334" i="1"/>
  <c r="R334" i="1" s="1"/>
  <c r="Q335" i="1"/>
  <c r="R335" i="1" s="1"/>
  <c r="Q336" i="1"/>
  <c r="R336" i="1" s="1"/>
  <c r="Q337" i="1"/>
  <c r="R337" i="1" s="1"/>
  <c r="Q338" i="1"/>
  <c r="R338" i="1" s="1"/>
  <c r="Q339" i="1"/>
  <c r="R339" i="1" s="1"/>
  <c r="Q340" i="1"/>
  <c r="R340" i="1" s="1"/>
  <c r="Q341" i="1"/>
  <c r="R341" i="1" s="1"/>
  <c r="Q342" i="1"/>
  <c r="R342" i="1" s="1"/>
  <c r="Q343" i="1"/>
  <c r="R343" i="1" s="1"/>
  <c r="Q344" i="1"/>
  <c r="R344" i="1" s="1"/>
  <c r="Q345" i="1"/>
  <c r="R345" i="1" s="1"/>
  <c r="Q346" i="1"/>
  <c r="R346" i="1" s="1"/>
  <c r="Q347" i="1"/>
  <c r="R347" i="1" s="1"/>
  <c r="Q348" i="1"/>
  <c r="R348" i="1" s="1"/>
  <c r="Q349" i="1"/>
  <c r="R349" i="1" s="1"/>
  <c r="Q350" i="1"/>
  <c r="R350" i="1" s="1"/>
  <c r="Q351" i="1"/>
  <c r="Q352" i="1"/>
  <c r="R352" i="1" s="1"/>
  <c r="Q353" i="1"/>
  <c r="R353" i="1" s="1"/>
  <c r="Q354" i="1"/>
  <c r="R354" i="1" s="1"/>
  <c r="Q355" i="1"/>
  <c r="R355" i="1" s="1"/>
  <c r="Q356" i="1"/>
  <c r="R356" i="1" s="1"/>
  <c r="Q357" i="1"/>
  <c r="R357" i="1" s="1"/>
  <c r="Q358" i="1"/>
  <c r="R358" i="1" s="1"/>
  <c r="Q359" i="1"/>
  <c r="R359" i="1" s="1"/>
  <c r="Q360" i="1"/>
  <c r="R360" i="1" s="1"/>
  <c r="Q361" i="1"/>
  <c r="R361" i="1" s="1"/>
  <c r="Q362" i="1"/>
  <c r="R362" i="1" s="1"/>
  <c r="Q363" i="1"/>
  <c r="R363" i="1" s="1"/>
  <c r="Q364" i="1"/>
  <c r="R364" i="1" s="1"/>
  <c r="Q365" i="1"/>
  <c r="R365" i="1" s="1"/>
  <c r="Q366" i="1"/>
  <c r="R366" i="1" s="1"/>
  <c r="Q367" i="1"/>
  <c r="Q368" i="1"/>
  <c r="R368" i="1" s="1"/>
  <c r="Q369" i="1"/>
  <c r="R369" i="1" s="1"/>
  <c r="Q370" i="1"/>
  <c r="R370" i="1" s="1"/>
  <c r="Q371" i="1"/>
  <c r="R371" i="1" s="1"/>
  <c r="Q372" i="1"/>
  <c r="R372" i="1" s="1"/>
  <c r="Q373" i="1"/>
  <c r="R373" i="1" s="1"/>
  <c r="Q374" i="1"/>
  <c r="R374" i="1" s="1"/>
  <c r="Q375" i="1"/>
  <c r="R375" i="1" s="1"/>
  <c r="Q376" i="1"/>
  <c r="R376" i="1" s="1"/>
  <c r="Q377" i="1"/>
  <c r="R377" i="1" s="1"/>
  <c r="Q378" i="1"/>
  <c r="R378" i="1" s="1"/>
  <c r="Q379" i="1"/>
  <c r="R379" i="1" s="1"/>
  <c r="Q380" i="1"/>
  <c r="R380" i="1" s="1"/>
  <c r="Q381" i="1"/>
  <c r="R381" i="1" s="1"/>
  <c r="Q382" i="1"/>
  <c r="R382" i="1" s="1"/>
  <c r="Q383" i="1"/>
  <c r="Q384" i="1"/>
  <c r="R384" i="1" s="1"/>
  <c r="Q385" i="1"/>
  <c r="R385" i="1" s="1"/>
  <c r="Q386" i="1"/>
  <c r="R386" i="1" s="1"/>
  <c r="Q387" i="1"/>
  <c r="R387" i="1" s="1"/>
  <c r="Q388" i="1"/>
  <c r="R388" i="1" s="1"/>
  <c r="Q389" i="1"/>
  <c r="R389" i="1" s="1"/>
  <c r="Q390" i="1"/>
  <c r="R390" i="1" s="1"/>
  <c r="Q391" i="1"/>
  <c r="R391" i="1" s="1"/>
  <c r="Q392" i="1"/>
  <c r="R392" i="1" s="1"/>
  <c r="Q393" i="1"/>
  <c r="R393" i="1" s="1"/>
  <c r="Q394" i="1"/>
  <c r="R394" i="1" s="1"/>
  <c r="Q395" i="1"/>
  <c r="R395" i="1" s="1"/>
  <c r="Q396" i="1"/>
  <c r="R396" i="1" s="1"/>
  <c r="Q397" i="1"/>
  <c r="R397" i="1" s="1"/>
  <c r="Q398" i="1"/>
  <c r="R398" i="1" s="1"/>
  <c r="Q399" i="1"/>
  <c r="Q400" i="1"/>
  <c r="R400" i="1" s="1"/>
  <c r="Q401" i="1"/>
  <c r="R401" i="1" s="1"/>
  <c r="Q402" i="1"/>
  <c r="R402" i="1" s="1"/>
  <c r="Q403" i="1"/>
  <c r="R403" i="1" s="1"/>
  <c r="Q404" i="1"/>
  <c r="R404" i="1" s="1"/>
  <c r="Q405" i="1"/>
  <c r="R405" i="1" s="1"/>
  <c r="Q406" i="1"/>
  <c r="R406" i="1" s="1"/>
  <c r="Q407" i="1"/>
  <c r="R407" i="1" s="1"/>
  <c r="Q408" i="1"/>
  <c r="R408" i="1" s="1"/>
  <c r="Q409" i="1"/>
  <c r="R409" i="1" s="1"/>
  <c r="Q410" i="1"/>
  <c r="R410" i="1" s="1"/>
  <c r="Q411" i="1"/>
  <c r="R411" i="1" s="1"/>
  <c r="Q412" i="1"/>
  <c r="R412" i="1" s="1"/>
  <c r="Q413" i="1"/>
  <c r="R413" i="1" s="1"/>
  <c r="Q414" i="1"/>
  <c r="R414" i="1" s="1"/>
  <c r="Q415" i="1"/>
  <c r="Q416" i="1"/>
  <c r="R416" i="1" s="1"/>
  <c r="Q417" i="1"/>
  <c r="R417" i="1" s="1"/>
  <c r="Q418" i="1"/>
  <c r="R418" i="1" s="1"/>
  <c r="Q419" i="1"/>
  <c r="R419" i="1" s="1"/>
  <c r="Q420" i="1"/>
  <c r="R420" i="1" s="1"/>
  <c r="Q421" i="1"/>
  <c r="R421" i="1" s="1"/>
  <c r="Q422" i="1"/>
  <c r="R422" i="1" s="1"/>
  <c r="Q423" i="1"/>
  <c r="R423" i="1" s="1"/>
  <c r="Q424" i="1"/>
  <c r="R424" i="1" s="1"/>
  <c r="Q425" i="1"/>
  <c r="R425" i="1" s="1"/>
  <c r="Q426" i="1"/>
  <c r="R426" i="1" s="1"/>
  <c r="Q427" i="1"/>
  <c r="R427" i="1" s="1"/>
  <c r="Q428" i="1"/>
  <c r="R428" i="1" s="1"/>
  <c r="Q429" i="1"/>
  <c r="R429" i="1" s="1"/>
  <c r="Q430" i="1"/>
  <c r="R430" i="1" s="1"/>
  <c r="Q431" i="1"/>
  <c r="Q432" i="1"/>
  <c r="R432" i="1" s="1"/>
  <c r="Q433" i="1"/>
  <c r="R433" i="1" s="1"/>
  <c r="Q434" i="1"/>
  <c r="R434" i="1" s="1"/>
  <c r="Q435" i="1"/>
  <c r="R435" i="1" s="1"/>
  <c r="Q436" i="1"/>
  <c r="R436" i="1" s="1"/>
  <c r="Q437" i="1"/>
  <c r="R437" i="1" s="1"/>
  <c r="Q438" i="1"/>
  <c r="R438" i="1" s="1"/>
  <c r="Q439" i="1"/>
  <c r="R439" i="1" s="1"/>
  <c r="Q440" i="1"/>
  <c r="R440" i="1" s="1"/>
  <c r="Q441" i="1"/>
  <c r="R441" i="1" s="1"/>
  <c r="Q442" i="1"/>
  <c r="R442" i="1" s="1"/>
  <c r="Q443" i="1"/>
  <c r="R443" i="1" s="1"/>
  <c r="Q444" i="1"/>
  <c r="R444" i="1" s="1"/>
  <c r="Q445" i="1"/>
  <c r="R445" i="1" s="1"/>
  <c r="Q446" i="1"/>
  <c r="R446" i="1" s="1"/>
  <c r="Q447" i="1"/>
  <c r="Q448" i="1"/>
  <c r="R448" i="1" s="1"/>
  <c r="Q449" i="1"/>
  <c r="R449" i="1" s="1"/>
  <c r="Q450" i="1"/>
  <c r="R450" i="1" s="1"/>
  <c r="Q451" i="1"/>
  <c r="R451" i="1" s="1"/>
  <c r="Q452" i="1"/>
  <c r="R452" i="1" s="1"/>
  <c r="Q453" i="1"/>
  <c r="R453" i="1" s="1"/>
  <c r="Q454" i="1"/>
  <c r="R454" i="1" s="1"/>
  <c r="Q455" i="1"/>
  <c r="R455" i="1" s="1"/>
  <c r="Q456" i="1"/>
  <c r="R456" i="1" s="1"/>
  <c r="Q457" i="1"/>
  <c r="R457" i="1" s="1"/>
  <c r="Q458" i="1"/>
  <c r="R458" i="1" s="1"/>
  <c r="Q459" i="1"/>
  <c r="R459" i="1" s="1"/>
  <c r="Q460" i="1"/>
  <c r="R460" i="1" s="1"/>
  <c r="Q461" i="1"/>
  <c r="R461" i="1" s="1"/>
  <c r="Q462" i="1"/>
  <c r="R462" i="1" s="1"/>
  <c r="Q463" i="1"/>
  <c r="Q464" i="1"/>
  <c r="R464" i="1" s="1"/>
  <c r="Q465" i="1"/>
  <c r="R465" i="1" s="1"/>
  <c r="Q466" i="1"/>
  <c r="R466" i="1" s="1"/>
  <c r="Q467" i="1"/>
  <c r="R467" i="1" s="1"/>
  <c r="Q468" i="1"/>
  <c r="R468" i="1" s="1"/>
  <c r="Q469" i="1"/>
  <c r="R469" i="1" s="1"/>
  <c r="Q470" i="1"/>
  <c r="Q471" i="1"/>
  <c r="R471" i="1" s="1"/>
  <c r="Q472" i="1"/>
  <c r="R472" i="1" s="1"/>
  <c r="Q473" i="1"/>
  <c r="R473" i="1" s="1"/>
  <c r="Q474" i="1"/>
  <c r="Q475" i="1"/>
  <c r="R475" i="1" s="1"/>
  <c r="Q476" i="1"/>
  <c r="R476" i="1" s="1"/>
  <c r="Q477" i="1"/>
  <c r="R477" i="1" s="1"/>
  <c r="Q478" i="1"/>
  <c r="Q479" i="1"/>
  <c r="R479" i="1" s="1"/>
  <c r="Q480" i="1"/>
  <c r="R480" i="1" s="1"/>
  <c r="Q481" i="1"/>
  <c r="R481" i="1" s="1"/>
  <c r="Q482" i="1"/>
  <c r="Q483" i="1"/>
  <c r="R483" i="1" s="1"/>
  <c r="Q484" i="1"/>
  <c r="R484" i="1" s="1"/>
  <c r="Q485" i="1"/>
  <c r="R485" i="1" s="1"/>
  <c r="Q486" i="1"/>
  <c r="Q487" i="1"/>
  <c r="R487" i="1" s="1"/>
  <c r="Q488" i="1"/>
  <c r="R488" i="1" s="1"/>
  <c r="Q489" i="1"/>
  <c r="R489" i="1" s="1"/>
  <c r="Q490" i="1"/>
  <c r="Q491" i="1"/>
  <c r="R491" i="1" s="1"/>
  <c r="Q492" i="1"/>
  <c r="R492" i="1" s="1"/>
  <c r="Q493" i="1"/>
  <c r="R493" i="1" s="1"/>
  <c r="Q494" i="1"/>
  <c r="Q495" i="1"/>
  <c r="R495" i="1" s="1"/>
  <c r="Q496" i="1"/>
  <c r="R496" i="1" s="1"/>
  <c r="Q497" i="1"/>
  <c r="R497" i="1" s="1"/>
  <c r="Q498" i="1"/>
  <c r="Q499" i="1"/>
  <c r="R499" i="1" s="1"/>
  <c r="Q500" i="1"/>
  <c r="R500" i="1" s="1"/>
  <c r="Q501" i="1"/>
  <c r="R501" i="1" s="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503CF2-44D2-46BA-8672-CE684DBB5E9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5D8AF45-08D4-413A-8F42-8B98B3B150C3}" name="WorksheetConnection_2026 SALES PERFORMANCE OF BASLARD GADGET STORE.xlsx!Table1" type="102" refreshedVersion="8" minRefreshableVersion="5">
    <extLst>
      <ext xmlns:x15="http://schemas.microsoft.com/office/spreadsheetml/2010/11/main" uri="{DE250136-89BD-433C-8126-D09CA5730AF9}">
        <x15:connection id="Table1" autoDelete="1">
          <x15:rangePr sourceName="_xlcn.WorksheetConnection_2026SALESPERFORMANCEOFBASLARDGADGETSTORE.xlsxTable11"/>
        </x15:connection>
      </ext>
    </extLst>
  </connection>
</connections>
</file>

<file path=xl/sharedStrings.xml><?xml version="1.0" encoding="utf-8"?>
<sst xmlns="http://schemas.openxmlformats.org/spreadsheetml/2006/main" count="10135" uniqueCount="780">
  <si>
    <t>OrderID</t>
  </si>
  <si>
    <t>OrderDate</t>
  </si>
  <si>
    <t>Customer</t>
  </si>
  <si>
    <t>Gender</t>
  </si>
  <si>
    <t>Age</t>
  </si>
  <si>
    <t>City</t>
  </si>
  <si>
    <t>Region</t>
  </si>
  <si>
    <t>Product</t>
  </si>
  <si>
    <t>Category</t>
  </si>
  <si>
    <t>Quantity</t>
  </si>
  <si>
    <t>UnitPrice</t>
  </si>
  <si>
    <t>Discount</t>
  </si>
  <si>
    <t>Salesperson</t>
  </si>
  <si>
    <t>PaymentMethod</t>
  </si>
  <si>
    <t>Month</t>
  </si>
  <si>
    <t>Year</t>
  </si>
  <si>
    <t>ORD1002</t>
  </si>
  <si>
    <t>2026-02-13</t>
  </si>
  <si>
    <t>Grace D.</t>
  </si>
  <si>
    <t>Male</t>
  </si>
  <si>
    <t>Port Harcourt</t>
  </si>
  <si>
    <t>South South</t>
  </si>
  <si>
    <t>Laptop</t>
  </si>
  <si>
    <t>Electronics</t>
  </si>
  <si>
    <t>Rose</t>
  </si>
  <si>
    <t>Cash</t>
  </si>
  <si>
    <t>ORD1003</t>
  </si>
  <si>
    <t>2026-03-31</t>
  </si>
  <si>
    <t>Aisha C.</t>
  </si>
  <si>
    <t>Abuja</t>
  </si>
  <si>
    <t>North Central</t>
  </si>
  <si>
    <t>Samuel</t>
  </si>
  <si>
    <t>Card</t>
  </si>
  <si>
    <t>ORD1004</t>
  </si>
  <si>
    <t>2026-01-07</t>
  </si>
  <si>
    <t>Daniel A.</t>
  </si>
  <si>
    <t>Female</t>
  </si>
  <si>
    <t>Lagos</t>
  </si>
  <si>
    <t>South West</t>
  </si>
  <si>
    <t>Paul</t>
  </si>
  <si>
    <t>ORD1005</t>
  </si>
  <si>
    <t>2026-05-01</t>
  </si>
  <si>
    <t>Joy B.</t>
  </si>
  <si>
    <t>Enugu</t>
  </si>
  <si>
    <t>South East</t>
  </si>
  <si>
    <t>Ada</t>
  </si>
  <si>
    <t>ORD1006</t>
  </si>
  <si>
    <t>2026-03-11</t>
  </si>
  <si>
    <t>Chinedu C.</t>
  </si>
  <si>
    <t>Desk</t>
  </si>
  <si>
    <t>Furniture</t>
  </si>
  <si>
    <t>POS</t>
  </si>
  <si>
    <t>ORD1007</t>
  </si>
  <si>
    <t>2026-04-26</t>
  </si>
  <si>
    <t>Grace B.</t>
  </si>
  <si>
    <t>Transfer</t>
  </si>
  <si>
    <t>ORD1008</t>
  </si>
  <si>
    <t>2026-03-24</t>
  </si>
  <si>
    <t>Mike</t>
  </si>
  <si>
    <t>ORD1009</t>
  </si>
  <si>
    <t>2026-04-06</t>
  </si>
  <si>
    <t>Daniel B.</t>
  </si>
  <si>
    <t>Mouse</t>
  </si>
  <si>
    <t>ORD1010</t>
  </si>
  <si>
    <t>2026-04-21</t>
  </si>
  <si>
    <t>Peter C.</t>
  </si>
  <si>
    <t>ORD1011</t>
  </si>
  <si>
    <t>2026-06-06</t>
  </si>
  <si>
    <t>Pen</t>
  </si>
  <si>
    <t>Stationery</t>
  </si>
  <si>
    <t>ORD1012</t>
  </si>
  <si>
    <t>2026-05-27</t>
  </si>
  <si>
    <t>Emmanuel D.</t>
  </si>
  <si>
    <t>Notebook</t>
  </si>
  <si>
    <t>ORD1013</t>
  </si>
  <si>
    <t>2026-01-10</t>
  </si>
  <si>
    <t>ORD1014</t>
  </si>
  <si>
    <t>2026-03-19</t>
  </si>
  <si>
    <t>John D.</t>
  </si>
  <si>
    <t>Phone</t>
  </si>
  <si>
    <t>ORD1015</t>
  </si>
  <si>
    <t>2026-01-24</t>
  </si>
  <si>
    <t>Grace C.</t>
  </si>
  <si>
    <t>ORD1016</t>
  </si>
  <si>
    <t>2026-03-15</t>
  </si>
  <si>
    <t>ORD1017</t>
  </si>
  <si>
    <t>2026-02-19</t>
  </si>
  <si>
    <t>Mary D.</t>
  </si>
  <si>
    <t>Kano</t>
  </si>
  <si>
    <t>North West</t>
  </si>
  <si>
    <t>ORD1018</t>
  </si>
  <si>
    <t>2026-05-07</t>
  </si>
  <si>
    <t>Aisha A.</t>
  </si>
  <si>
    <t>Ife</t>
  </si>
  <si>
    <t>ORD1019</t>
  </si>
  <si>
    <t>2026-05-04</t>
  </si>
  <si>
    <t>Fatima D.</t>
  </si>
  <si>
    <t>ORD1020</t>
  </si>
  <si>
    <t>2026-06-28</t>
  </si>
  <si>
    <t>Chinedu D.</t>
  </si>
  <si>
    <t>ORD1021</t>
  </si>
  <si>
    <t>2026-05-10</t>
  </si>
  <si>
    <t>Joy A.</t>
  </si>
  <si>
    <t>ORD1022</t>
  </si>
  <si>
    <t>2026-03-12</t>
  </si>
  <si>
    <t>Esther B.</t>
  </si>
  <si>
    <t>ORD1023</t>
  </si>
  <si>
    <t>2026-02-12</t>
  </si>
  <si>
    <t>Aisha D.</t>
  </si>
  <si>
    <t>Chair</t>
  </si>
  <si>
    <t>ORD1024</t>
  </si>
  <si>
    <t>2026-06-10</t>
  </si>
  <si>
    <t>ORD1025</t>
  </si>
  <si>
    <t>2026-06-01</t>
  </si>
  <si>
    <t>Chinedu B.</t>
  </si>
  <si>
    <t>ORD1026</t>
  </si>
  <si>
    <t>2026-04-27</t>
  </si>
  <si>
    <t>David B.</t>
  </si>
  <si>
    <t>Printer</t>
  </si>
  <si>
    <t>ORD1027</t>
  </si>
  <si>
    <t>2026-01-28</t>
  </si>
  <si>
    <t>ORD1028</t>
  </si>
  <si>
    <t>2026-03-20</t>
  </si>
  <si>
    <t>Fatima B.</t>
  </si>
  <si>
    <t>ORD1029</t>
  </si>
  <si>
    <t>2026-05-30</t>
  </si>
  <si>
    <t>David A.</t>
  </si>
  <si>
    <t>ORD1030</t>
  </si>
  <si>
    <t>2026-02-03</t>
  </si>
  <si>
    <t>ORD1031</t>
  </si>
  <si>
    <t>2026-05-12</t>
  </si>
  <si>
    <t>John B.</t>
  </si>
  <si>
    <t>ORD1032</t>
  </si>
  <si>
    <t>2026-03-17</t>
  </si>
  <si>
    <t>ORD1033</t>
  </si>
  <si>
    <t>2026-05-11</t>
  </si>
  <si>
    <t>Fatima A.</t>
  </si>
  <si>
    <t>ORD1034</t>
  </si>
  <si>
    <t>2026-06-19</t>
  </si>
  <si>
    <t>ORD1035</t>
  </si>
  <si>
    <t>2026-05-09</t>
  </si>
  <si>
    <t>ORD1036</t>
  </si>
  <si>
    <t>2026-05-06</t>
  </si>
  <si>
    <t>ORD1037</t>
  </si>
  <si>
    <t>2026-03-26</t>
  </si>
  <si>
    <t>Esther A.</t>
  </si>
  <si>
    <t>ORD1038</t>
  </si>
  <si>
    <t>ORD1039</t>
  </si>
  <si>
    <t>2026-06-12</t>
  </si>
  <si>
    <t>Peter D.</t>
  </si>
  <si>
    <t>ORD1040</t>
  </si>
  <si>
    <t>2026-01-04</t>
  </si>
  <si>
    <t>Mary C.</t>
  </si>
  <si>
    <t>ORD1041</t>
  </si>
  <si>
    <t>2026-06-07</t>
  </si>
  <si>
    <t>David D.</t>
  </si>
  <si>
    <t>ORD1042</t>
  </si>
  <si>
    <t>2026-02-07</t>
  </si>
  <si>
    <t>John A.</t>
  </si>
  <si>
    <t>ORD1043</t>
  </si>
  <si>
    <t>2026-01-23</t>
  </si>
  <si>
    <t>ORD1044</t>
  </si>
  <si>
    <t>2026-04-18</t>
  </si>
  <si>
    <t>ORD1045</t>
  </si>
  <si>
    <t>2026-02-08</t>
  </si>
  <si>
    <t>Aisha B.</t>
  </si>
  <si>
    <t>ORD1046</t>
  </si>
  <si>
    <t>2026-02-06</t>
  </si>
  <si>
    <t>ORD1047</t>
  </si>
  <si>
    <t>ORD1048</t>
  </si>
  <si>
    <t>2026-05-24</t>
  </si>
  <si>
    <t>ORD1049</t>
  </si>
  <si>
    <t>2026-06-26</t>
  </si>
  <si>
    <t>ORD1050</t>
  </si>
  <si>
    <t>2026-05-15</t>
  </si>
  <si>
    <t>ORD1051</t>
  </si>
  <si>
    <t>ORD1052</t>
  </si>
  <si>
    <t>2026-06-15</t>
  </si>
  <si>
    <t>ORD1053</t>
  </si>
  <si>
    <t>2026-01-12</t>
  </si>
  <si>
    <t>Grace A.</t>
  </si>
  <si>
    <t>ORD1054</t>
  </si>
  <si>
    <t>Mary B.</t>
  </si>
  <si>
    <t>ORD1055</t>
  </si>
  <si>
    <t>ORD1056</t>
  </si>
  <si>
    <t>2026-02-15</t>
  </si>
  <si>
    <t>ORD1057</t>
  </si>
  <si>
    <t>2026-01-19</t>
  </si>
  <si>
    <t>David C.</t>
  </si>
  <si>
    <t>ORD1058</t>
  </si>
  <si>
    <t>ORD1059</t>
  </si>
  <si>
    <t>2026-01-31</t>
  </si>
  <si>
    <t>ORD1060</t>
  </si>
  <si>
    <t>2026-04-23</t>
  </si>
  <si>
    <t>ORD1061</t>
  </si>
  <si>
    <t>2026-01-27</t>
  </si>
  <si>
    <t>ORD1062</t>
  </si>
  <si>
    <t>2026-03-05</t>
  </si>
  <si>
    <t>ORD1063</t>
  </si>
  <si>
    <t>2026-03-04</t>
  </si>
  <si>
    <t>ORD1064</t>
  </si>
  <si>
    <t>2026-05-25</t>
  </si>
  <si>
    <t>ORD1065</t>
  </si>
  <si>
    <t>ORD1066</t>
  </si>
  <si>
    <t>ORD1067</t>
  </si>
  <si>
    <t>Peter A.</t>
  </si>
  <si>
    <t>ORD1068</t>
  </si>
  <si>
    <t>2026-01-29</t>
  </si>
  <si>
    <t>ORD1069</t>
  </si>
  <si>
    <t>2026-04-07</t>
  </si>
  <si>
    <t>ORD1070</t>
  </si>
  <si>
    <t>ORD1071</t>
  </si>
  <si>
    <t>2026-04-16</t>
  </si>
  <si>
    <t>ORD1072</t>
  </si>
  <si>
    <t>2026-05-03</t>
  </si>
  <si>
    <t>ORD1073</t>
  </si>
  <si>
    <t>2026-06-13</t>
  </si>
  <si>
    <t>ORD1074</t>
  </si>
  <si>
    <t>ORD1075</t>
  </si>
  <si>
    <t>2026-01-22</t>
  </si>
  <si>
    <t>ORD1076</t>
  </si>
  <si>
    <t>2026-05-05</t>
  </si>
  <si>
    <t>ORD1077</t>
  </si>
  <si>
    <t>Chinedu A.</t>
  </si>
  <si>
    <t>ORD1078</t>
  </si>
  <si>
    <t>2026-03-09</t>
  </si>
  <si>
    <t>ORD1079</t>
  </si>
  <si>
    <t>2026-06-02</t>
  </si>
  <si>
    <t>ORD1080</t>
  </si>
  <si>
    <t>ORD1081</t>
  </si>
  <si>
    <t>2026-01-21</t>
  </si>
  <si>
    <t>ORD1082</t>
  </si>
  <si>
    <t>2026-06-16</t>
  </si>
  <si>
    <t>Esther D.</t>
  </si>
  <si>
    <t>ORD1083</t>
  </si>
  <si>
    <t>2026-05-29</t>
  </si>
  <si>
    <t>ORD1084</t>
  </si>
  <si>
    <t>2026-01-09</t>
  </si>
  <si>
    <t>ORD1085</t>
  </si>
  <si>
    <t>ORD1086</t>
  </si>
  <si>
    <t>Emmanuel C.</t>
  </si>
  <si>
    <t>ORD1087</t>
  </si>
  <si>
    <t>2026-01-03</t>
  </si>
  <si>
    <t>Esther C.</t>
  </si>
  <si>
    <t>ORD1088</t>
  </si>
  <si>
    <t>2026-02-25</t>
  </si>
  <si>
    <t>ORD1089</t>
  </si>
  <si>
    <t>ORD1090</t>
  </si>
  <si>
    <t>2026-03-06</t>
  </si>
  <si>
    <t>ORD1091</t>
  </si>
  <si>
    <t>2026-03-22</t>
  </si>
  <si>
    <t>Fatima C.</t>
  </si>
  <si>
    <t>ORD1092</t>
  </si>
  <si>
    <t>2026-05-02</t>
  </si>
  <si>
    <t>ORD1093</t>
  </si>
  <si>
    <t>2026-01-16</t>
  </si>
  <si>
    <t>Emmanuel B.</t>
  </si>
  <si>
    <t>ORD1094</t>
  </si>
  <si>
    <t>John C.</t>
  </si>
  <si>
    <t>ORD1095</t>
  </si>
  <si>
    <t>2026-04-24</t>
  </si>
  <si>
    <t>ORD1096</t>
  </si>
  <si>
    <t>ORD1097</t>
  </si>
  <si>
    <t>2026-06-29</t>
  </si>
  <si>
    <t>ORD1098</t>
  </si>
  <si>
    <t>2026-01-11</t>
  </si>
  <si>
    <t>Mary A.</t>
  </si>
  <si>
    <t>ORD1099</t>
  </si>
  <si>
    <t>Daniel D.</t>
  </si>
  <si>
    <t>ORD1100</t>
  </si>
  <si>
    <t>ORD1101</t>
  </si>
  <si>
    <t>2026-03-02</t>
  </si>
  <si>
    <t>ORD1102</t>
  </si>
  <si>
    <t>ORD1103</t>
  </si>
  <si>
    <t>ORD1104</t>
  </si>
  <si>
    <t>2026-04-10</t>
  </si>
  <si>
    <t>ORD1105</t>
  </si>
  <si>
    <t>2026-04-30</t>
  </si>
  <si>
    <t>ORD1106</t>
  </si>
  <si>
    <t>2026-04-20</t>
  </si>
  <si>
    <t>ORD1107</t>
  </si>
  <si>
    <t>ORD1108</t>
  </si>
  <si>
    <t>2026-03-03</t>
  </si>
  <si>
    <t>ORD1109</t>
  </si>
  <si>
    <t>2026-02-17</t>
  </si>
  <si>
    <t>ORD1110</t>
  </si>
  <si>
    <t>2026-05-18</t>
  </si>
  <si>
    <t>ORD1111</t>
  </si>
  <si>
    <t>2026-02-23</t>
  </si>
  <si>
    <t>Emmanuel A.</t>
  </si>
  <si>
    <t>ORD1112</t>
  </si>
  <si>
    <t>2026-02-28</t>
  </si>
  <si>
    <t>ORD1113</t>
  </si>
  <si>
    <t>ORD1114</t>
  </si>
  <si>
    <t>Joy C.</t>
  </si>
  <si>
    <t>ORD1115</t>
  </si>
  <si>
    <t>ORD1116</t>
  </si>
  <si>
    <t>ORD1117</t>
  </si>
  <si>
    <t>ORD1118</t>
  </si>
  <si>
    <t>2026-04-12</t>
  </si>
  <si>
    <t>ORD1119</t>
  </si>
  <si>
    <t>ORD1120</t>
  </si>
  <si>
    <t>2026-03-28</t>
  </si>
  <si>
    <t>Joy D.</t>
  </si>
  <si>
    <t>ORD1121</t>
  </si>
  <si>
    <t>ORD1122</t>
  </si>
  <si>
    <t>ORD1123</t>
  </si>
  <si>
    <t>2026-05-14</t>
  </si>
  <si>
    <t>ORD1124</t>
  </si>
  <si>
    <t>ORD1125</t>
  </si>
  <si>
    <t>2026-06-17</t>
  </si>
  <si>
    <t>ORD1126</t>
  </si>
  <si>
    <t>2026-01-15</t>
  </si>
  <si>
    <t>ORD1127</t>
  </si>
  <si>
    <t>2026-02-21</t>
  </si>
  <si>
    <t>ORD1128</t>
  </si>
  <si>
    <t>2026-03-10</t>
  </si>
  <si>
    <t>ORD1129</t>
  </si>
  <si>
    <t>Daniel C.</t>
  </si>
  <si>
    <t>ORD1130</t>
  </si>
  <si>
    <t>ORD1131</t>
  </si>
  <si>
    <t>2026-02-10</t>
  </si>
  <si>
    <t>ORD1132</t>
  </si>
  <si>
    <t>2026-06-18</t>
  </si>
  <si>
    <t>ORD1133</t>
  </si>
  <si>
    <t>ORD1134</t>
  </si>
  <si>
    <t>ORD1135</t>
  </si>
  <si>
    <t>ORD1136</t>
  </si>
  <si>
    <t>2026-05-17</t>
  </si>
  <si>
    <t>ORD1137</t>
  </si>
  <si>
    <t>ORD1138</t>
  </si>
  <si>
    <t>2026-01-25</t>
  </si>
  <si>
    <t>ORD1139</t>
  </si>
  <si>
    <t>ORD1140</t>
  </si>
  <si>
    <t>2026-03-13</t>
  </si>
  <si>
    <t>ORD1141</t>
  </si>
  <si>
    <t>2026-01-30</t>
  </si>
  <si>
    <t>ORD1142</t>
  </si>
  <si>
    <t>ORD1143</t>
  </si>
  <si>
    <t>2026-05-13</t>
  </si>
  <si>
    <t>ORD1144</t>
  </si>
  <si>
    <t>2026-02-05</t>
  </si>
  <si>
    <t>ORD1145</t>
  </si>
  <si>
    <t>ORD1146</t>
  </si>
  <si>
    <t>2026-03-07</t>
  </si>
  <si>
    <t>ORD1147</t>
  </si>
  <si>
    <t>2026-05-31</t>
  </si>
  <si>
    <t>ORD1148</t>
  </si>
  <si>
    <t>ORD1149</t>
  </si>
  <si>
    <t>2026-05-22</t>
  </si>
  <si>
    <t>Peter B.</t>
  </si>
  <si>
    <t>ORD1150</t>
  </si>
  <si>
    <t>ORD1151</t>
  </si>
  <si>
    <t>ORD1152</t>
  </si>
  <si>
    <t>2026-04-29</t>
  </si>
  <si>
    <t>ORD1153</t>
  </si>
  <si>
    <t>2026-04-11</t>
  </si>
  <si>
    <t>ORD1154</t>
  </si>
  <si>
    <t>ORD1155</t>
  </si>
  <si>
    <t>ORD1156</t>
  </si>
  <si>
    <t>ORD1157</t>
  </si>
  <si>
    <t>ORD1158</t>
  </si>
  <si>
    <t>ORD1159</t>
  </si>
  <si>
    <t>2026-01-13</t>
  </si>
  <si>
    <t>ORD1160</t>
  </si>
  <si>
    <t>2026-03-29</t>
  </si>
  <si>
    <t>ORD1161</t>
  </si>
  <si>
    <t>ORD1162</t>
  </si>
  <si>
    <t>2026-04-19</t>
  </si>
  <si>
    <t>ORD1163</t>
  </si>
  <si>
    <t>ORD1164</t>
  </si>
  <si>
    <t>2026-02-22</t>
  </si>
  <si>
    <t>ORD1165</t>
  </si>
  <si>
    <t>2026-03-23</t>
  </si>
  <si>
    <t>ORD1166</t>
  </si>
  <si>
    <t>2026-04-15</t>
  </si>
  <si>
    <t>ORD1167</t>
  </si>
  <si>
    <t>2026-05-21</t>
  </si>
  <si>
    <t>ORD1168</t>
  </si>
  <si>
    <t>2026-02-09</t>
  </si>
  <si>
    <t>ORD1169</t>
  </si>
  <si>
    <t>ORD1170</t>
  </si>
  <si>
    <t>ORD1171</t>
  </si>
  <si>
    <t>2026-02-27</t>
  </si>
  <si>
    <t>ORD1172</t>
  </si>
  <si>
    <t>2026-02-24</t>
  </si>
  <si>
    <t>ORD1173</t>
  </si>
  <si>
    <t>ORD1174</t>
  </si>
  <si>
    <t>ORD1175</t>
  </si>
  <si>
    <t>ORD1176</t>
  </si>
  <si>
    <t>2026-04-28</t>
  </si>
  <si>
    <t>ORD1177</t>
  </si>
  <si>
    <t>ORD1178</t>
  </si>
  <si>
    <t>2026-01-06</t>
  </si>
  <si>
    <t>ORD1179</t>
  </si>
  <si>
    <t>ORD1180</t>
  </si>
  <si>
    <t>ORD1181</t>
  </si>
  <si>
    <t>ORD1182</t>
  </si>
  <si>
    <t>2026-01-05</t>
  </si>
  <si>
    <t>ORD1183</t>
  </si>
  <si>
    <t>ORD1184</t>
  </si>
  <si>
    <t>2026-05-16</t>
  </si>
  <si>
    <t>ORD1185</t>
  </si>
  <si>
    <t>2026-06-22</t>
  </si>
  <si>
    <t>ORD1186</t>
  </si>
  <si>
    <t>2026-04-25</t>
  </si>
  <si>
    <t>ORD1187</t>
  </si>
  <si>
    <t>ORD1188</t>
  </si>
  <si>
    <t>ORD1189</t>
  </si>
  <si>
    <t>ORD1190</t>
  </si>
  <si>
    <t>ORD1191</t>
  </si>
  <si>
    <t>2026-06-08</t>
  </si>
  <si>
    <t>ORD1192</t>
  </si>
  <si>
    <t>ORD1193</t>
  </si>
  <si>
    <t>ORD1194</t>
  </si>
  <si>
    <t>2026-05-28</t>
  </si>
  <si>
    <t>ORD1195</t>
  </si>
  <si>
    <t>2026-01-17</t>
  </si>
  <si>
    <t>ORD1196</t>
  </si>
  <si>
    <t>ORD1197</t>
  </si>
  <si>
    <t>ORD1198</t>
  </si>
  <si>
    <t>ORD1199</t>
  </si>
  <si>
    <t>ORD1200</t>
  </si>
  <si>
    <t>2026-01-18</t>
  </si>
  <si>
    <t>ORD1201</t>
  </si>
  <si>
    <t>2026-03-25</t>
  </si>
  <si>
    <t>ORD1202</t>
  </si>
  <si>
    <t>2026-04-03</t>
  </si>
  <si>
    <t>ORD1203</t>
  </si>
  <si>
    <t>ORD1204</t>
  </si>
  <si>
    <t>ORD1205</t>
  </si>
  <si>
    <t>ORD1206</t>
  </si>
  <si>
    <t>2026-06-05</t>
  </si>
  <si>
    <t>ORD1207</t>
  </si>
  <si>
    <t>ORD1208</t>
  </si>
  <si>
    <t>2026-01-01</t>
  </si>
  <si>
    <t>ORD1209</t>
  </si>
  <si>
    <t>ORD1210</t>
  </si>
  <si>
    <t>ORD1211</t>
  </si>
  <si>
    <t>ORD1212</t>
  </si>
  <si>
    <t>ORD1213</t>
  </si>
  <si>
    <t>ORD1214</t>
  </si>
  <si>
    <t>ORD1215</t>
  </si>
  <si>
    <t>ORD1216</t>
  </si>
  <si>
    <t>ORD1217</t>
  </si>
  <si>
    <t>ORD1218</t>
  </si>
  <si>
    <t>ORD1219</t>
  </si>
  <si>
    <t>ORD1220</t>
  </si>
  <si>
    <t>2026-03-08</t>
  </si>
  <si>
    <t>ORD1221</t>
  </si>
  <si>
    <t>ORD1222</t>
  </si>
  <si>
    <t>2026-06-21</t>
  </si>
  <si>
    <t>ORD1223</t>
  </si>
  <si>
    <t>2026-02-20</t>
  </si>
  <si>
    <t>ORD1224</t>
  </si>
  <si>
    <t>ORD1225</t>
  </si>
  <si>
    <t>ORD1226</t>
  </si>
  <si>
    <t>ORD1227</t>
  </si>
  <si>
    <t>2026-05-26</t>
  </si>
  <si>
    <t>ORD1228</t>
  </si>
  <si>
    <t>ORD1229</t>
  </si>
  <si>
    <t>2026-04-08</t>
  </si>
  <si>
    <t>ORD1230</t>
  </si>
  <si>
    <t>ORD1231</t>
  </si>
  <si>
    <t>ORD1232</t>
  </si>
  <si>
    <t>ORD1233</t>
  </si>
  <si>
    <t>ORD1234</t>
  </si>
  <si>
    <t>ORD1235</t>
  </si>
  <si>
    <t>2026-04-14</t>
  </si>
  <si>
    <t>ORD1236</t>
  </si>
  <si>
    <t>2026-03-27</t>
  </si>
  <si>
    <t>ORD1237</t>
  </si>
  <si>
    <t>2026-01-14</t>
  </si>
  <si>
    <t>ORD1238</t>
  </si>
  <si>
    <t>2026-04-13</t>
  </si>
  <si>
    <t>ORD1239</t>
  </si>
  <si>
    <t>ORD1240</t>
  </si>
  <si>
    <t>ORD1241</t>
  </si>
  <si>
    <t>ORD1242</t>
  </si>
  <si>
    <t>ORD1243</t>
  </si>
  <si>
    <t>ORD1244</t>
  </si>
  <si>
    <t>2026-03-16</t>
  </si>
  <si>
    <t>ORD1245</t>
  </si>
  <si>
    <t>ORD1246</t>
  </si>
  <si>
    <t>ORD1247</t>
  </si>
  <si>
    <t>ORD1248</t>
  </si>
  <si>
    <t>ORD1249</t>
  </si>
  <si>
    <t>ORD1250</t>
  </si>
  <si>
    <t>2026-02-11</t>
  </si>
  <si>
    <t>ORD1251</t>
  </si>
  <si>
    <t>ORD1252</t>
  </si>
  <si>
    <t>ORD1253</t>
  </si>
  <si>
    <t>ORD1254</t>
  </si>
  <si>
    <t>ORD1255</t>
  </si>
  <si>
    <t>ORD1256</t>
  </si>
  <si>
    <t>ORD1257</t>
  </si>
  <si>
    <t>ORD1258</t>
  </si>
  <si>
    <t>ORD1259</t>
  </si>
  <si>
    <t>ORD1260</t>
  </si>
  <si>
    <t>2026-04-09</t>
  </si>
  <si>
    <t>ORD1261</t>
  </si>
  <si>
    <t>ORD1262</t>
  </si>
  <si>
    <t>2026-06-03</t>
  </si>
  <si>
    <t>ORD1263</t>
  </si>
  <si>
    <t>ORD1264</t>
  </si>
  <si>
    <t>ORD1265</t>
  </si>
  <si>
    <t>ORD1266</t>
  </si>
  <si>
    <t>ORD1267</t>
  </si>
  <si>
    <t>ORD1268</t>
  </si>
  <si>
    <t>ORD1269</t>
  </si>
  <si>
    <t>ORD1270</t>
  </si>
  <si>
    <t>ORD1271</t>
  </si>
  <si>
    <t>ORD1272</t>
  </si>
  <si>
    <t>2026-06-23</t>
  </si>
  <si>
    <t>ORD1273</t>
  </si>
  <si>
    <t>ORD1274</t>
  </si>
  <si>
    <t>2026-01-26</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</si>
  <si>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</si>
  <si>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</si>
  <si>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</si>
  <si>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</si>
  <si>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</si>
  <si>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</si>
  <si>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</si>
  <si>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</si>
  <si>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</si>
  <si>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</si>
  <si>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</si>
  <si>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</si>
  <si>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</si>
  <si>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</si>
  <si>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</si>
  <si>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</si>
  <si>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</si>
  <si>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</si>
  <si>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</si>
  <si>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</si>
  <si>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2026-02-26</t>
  </si>
  <si>
    <t>ORD1295</t>
  </si>
  <si>
    <t>ORD1296</t>
  </si>
  <si>
    <t>ORD1297</t>
  </si>
  <si>
    <t>ORD1298</t>
  </si>
  <si>
    <t>2026-05-19</t>
  </si>
  <si>
    <t>ORD1299</t>
  </si>
  <si>
    <t>ORD1300</t>
  </si>
  <si>
    <t>ORD1301</t>
  </si>
  <si>
    <t>ORD1302</t>
  </si>
  <si>
    <t>ORD1303</t>
  </si>
  <si>
    <t>ORD1304</t>
  </si>
  <si>
    <t>ORD1305</t>
  </si>
  <si>
    <t>ORD1306</t>
  </si>
  <si>
    <t>ORD1307</t>
  </si>
  <si>
    <t>ORD1308</t>
  </si>
  <si>
    <t>ORD1309</t>
  </si>
  <si>
    <t>ORD1310</t>
  </si>
  <si>
    <t>ORD1311</t>
  </si>
  <si>
    <t>ORD1312</t>
  </si>
  <si>
    <t>2026-04-05</t>
  </si>
  <si>
    <t>ORD1313</t>
  </si>
  <si>
    <t>2026-06-20</t>
  </si>
  <si>
    <t>ORD1314</t>
  </si>
  <si>
    <t>ORD1315</t>
  </si>
  <si>
    <t>ORD1316</t>
  </si>
  <si>
    <t>ORD1317</t>
  </si>
  <si>
    <t>ORD1318</t>
  </si>
  <si>
    <t>ORD1319</t>
  </si>
  <si>
    <t>2026-02-14</t>
  </si>
  <si>
    <t>ORD1320</t>
  </si>
  <si>
    <t>ORD1321</t>
  </si>
  <si>
    <t>ORD1322</t>
  </si>
  <si>
    <t>2026-04-02</t>
  </si>
  <si>
    <t>ORD1323</t>
  </si>
  <si>
    <t>2026-01-02</t>
  </si>
  <si>
    <t>ORD1324</t>
  </si>
  <si>
    <t>ORD1325</t>
  </si>
  <si>
    <t>ORD1326</t>
  </si>
  <si>
    <t>ORD1327</t>
  </si>
  <si>
    <t>ORD1328</t>
  </si>
  <si>
    <t>ORD1329</t>
  </si>
  <si>
    <t>2026-06-11</t>
  </si>
  <si>
    <t>ORD1330</t>
  </si>
  <si>
    <t>ORD1331</t>
  </si>
  <si>
    <t>ORD1332</t>
  </si>
  <si>
    <t>ORD1333</t>
  </si>
  <si>
    <t>2026-06-04</t>
  </si>
  <si>
    <t>ORD1334</t>
  </si>
  <si>
    <t>ORD1335</t>
  </si>
  <si>
    <t>2026-06-24</t>
  </si>
  <si>
    <t>ORD1336</t>
  </si>
  <si>
    <t>2026-04-04</t>
  </si>
  <si>
    <t>ORD1337</t>
  </si>
  <si>
    <t>ORD1338</t>
  </si>
  <si>
    <t>ORD1339</t>
  </si>
  <si>
    <t>ORD1340</t>
  </si>
  <si>
    <t>ORD1341</t>
  </si>
  <si>
    <t>2026-06-27</t>
  </si>
  <si>
    <t>ORD1342</t>
  </si>
  <si>
    <t>ORD1343</t>
  </si>
  <si>
    <t>ORD1344</t>
  </si>
  <si>
    <t>2026-04-17</t>
  </si>
  <si>
    <t>ORD1345</t>
  </si>
  <si>
    <t>ORD1346</t>
  </si>
  <si>
    <t>ORD1347</t>
  </si>
  <si>
    <t>ORD1348</t>
  </si>
  <si>
    <t>ORD1349</t>
  </si>
  <si>
    <t>ORD1350</t>
  </si>
  <si>
    <t>ORD1351</t>
  </si>
  <si>
    <t>ORD1352</t>
  </si>
  <si>
    <t>ORD1353</t>
  </si>
  <si>
    <t>ORD1354</t>
  </si>
  <si>
    <t>ORD1355</t>
  </si>
  <si>
    <t>ORD1356</t>
  </si>
  <si>
    <t>ORD1357</t>
  </si>
  <si>
    <t>2026-06-25</t>
  </si>
  <si>
    <t>ORD1358</t>
  </si>
  <si>
    <t>2026-01-08</t>
  </si>
  <si>
    <t>ORD1359</t>
  </si>
  <si>
    <t>ORD1360</t>
  </si>
  <si>
    <t>ORD1361</t>
  </si>
  <si>
    <t>ORD1362</t>
  </si>
  <si>
    <t>ORD1363</t>
  </si>
  <si>
    <t>ORD1364</t>
  </si>
  <si>
    <t>ORD1365</t>
  </si>
  <si>
    <t>2026-05-20</t>
  </si>
  <si>
    <t>ORD1366</t>
  </si>
  <si>
    <t>ORD1367</t>
  </si>
  <si>
    <t>ORD1368</t>
  </si>
  <si>
    <t>ORD1369</t>
  </si>
  <si>
    <t>ORD1370</t>
  </si>
  <si>
    <t>ORD1371</t>
  </si>
  <si>
    <t>ORD1372</t>
  </si>
  <si>
    <t>ORD1373</t>
  </si>
  <si>
    <t>ORD1374</t>
  </si>
  <si>
    <t>ORD1375</t>
  </si>
  <si>
    <t>ORD1376</t>
  </si>
  <si>
    <t>ORD1377</t>
  </si>
  <si>
    <t>ORD1378</t>
  </si>
  <si>
    <t>2026-01-20</t>
  </si>
  <si>
    <t>ORD1379</t>
  </si>
  <si>
    <t>ORD1380</t>
  </si>
  <si>
    <t>ORD1381</t>
  </si>
  <si>
    <t>2026-04-22</t>
  </si>
  <si>
    <t>ORD1382</t>
  </si>
  <si>
    <t>ORD1383</t>
  </si>
  <si>
    <t>ORD1384</t>
  </si>
  <si>
    <t>ORD1385</t>
  </si>
  <si>
    <t>ORD1386</t>
  </si>
  <si>
    <t>ORD1387</t>
  </si>
  <si>
    <t>ORD1388</t>
  </si>
  <si>
    <t>ORD1389</t>
  </si>
  <si>
    <t>2026-03-18</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</si>
  <si>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</si>
  <si>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</si>
  <si>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</si>
  <si>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</si>
  <si>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</si>
  <si>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</si>
  <si>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</si>
  <si>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</si>
  <si>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</si>
  <si>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</si>
  <si>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</si>
  <si>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</si>
  <si>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</si>
  <si>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</si>
  <si>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</si>
  <si>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</si>
  <si>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</si>
  <si>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</si>
  <si>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</si>
  <si>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</si>
  <si>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</si>
  <si>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</si>
  <si>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</si>
  <si>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</si>
  <si>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</si>
  <si>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</si>
  <si>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</si>
  <si>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</si>
  <si>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</si>
  <si>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</si>
  <si>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2026-03-21</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</si>
  <si>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</si>
  <si>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</si>
  <si>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</si>
  <si>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</si>
  <si>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</si>
  <si>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</si>
  <si>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</si>
  <si>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</si>
  <si>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</si>
  <si>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</si>
  <si>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</si>
  <si>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</si>
  <si>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</si>
  <si>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</si>
  <si>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</si>
  <si>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</si>
  <si>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</si>
  <si>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</si>
  <si>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2026-02-18</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</si>
  <si>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</si>
  <si>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</si>
  <si>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</si>
  <si>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</si>
  <si>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</si>
  <si>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</si>
  <si>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</si>
  <si>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</si>
  <si>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</si>
  <si>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</si>
  <si>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</si>
  <si>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</si>
  <si>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</si>
  <si>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</si>
  <si>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</si>
  <si>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</si>
  <si>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</si>
  <si>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</si>
  <si>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</si>
  <si>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</si>
  <si>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</si>
  <si>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</si>
  <si>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</si>
  <si>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</si>
  <si>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</si>
  <si>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</si>
  <si>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</si>
  <si>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</si>
  <si>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</si>
  <si>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</si>
  <si>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</si>
  <si>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</si>
  <si>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</si>
  <si>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</si>
  <si>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</si>
  <si>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</si>
  <si>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</si>
  <si>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</si>
  <si>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</si>
  <si>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</si>
  <si>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</si>
  <si>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</si>
  <si>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</si>
  <si>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</si>
  <si>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</si>
  <si>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</si>
  <si>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</si>
  <si>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</si>
  <si>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</si>
  <si>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</si>
  <si>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2026-03-30</t>
  </si>
  <si>
    <t>ORD1488</t>
  </si>
  <si>
    <t>ORD1489</t>
  </si>
  <si>
    <t>ORD1490</t>
  </si>
  <si>
    <t>ORD1491</t>
  </si>
  <si>
    <t>ORD1492</t>
  </si>
  <si>
    <t>ORD1493</t>
  </si>
  <si>
    <t>ORD1494</t>
  </si>
  <si>
    <t>ORD1495</t>
  </si>
  <si>
    <t>ORD1496</t>
  </si>
  <si>
    <t>ORD1497</t>
  </si>
  <si>
    <t>ORD1498</t>
  </si>
  <si>
    <t>ORD1499</t>
  </si>
  <si>
    <t>ORD1500</t>
  </si>
  <si>
    <t>ORD1501</t>
  </si>
  <si>
    <t>Jan</t>
  </si>
  <si>
    <t>Feb</t>
  </si>
  <si>
    <t>Mar</t>
  </si>
  <si>
    <t>Apr</t>
  </si>
  <si>
    <t>May</t>
  </si>
  <si>
    <t>Row Labels</t>
  </si>
  <si>
    <t>Grand Total</t>
  </si>
  <si>
    <t>Sum of Quantity</t>
  </si>
  <si>
    <t>Count of Customer</t>
  </si>
  <si>
    <t>Jun</t>
  </si>
  <si>
    <t>Sales Price</t>
  </si>
  <si>
    <t>Total Sales Price</t>
  </si>
  <si>
    <t>Sum of Total Sales Price</t>
  </si>
  <si>
    <t>Count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</si>
</sst>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quot;$&quot;#,##0.00;[Red]&quot;$&quot;#,##0.00"/>
  </numFmts>
  <fonts count="6" x14ac:knownFonts="1">
    <font>
      <sz val="11"/>
      <color theme="1"/>
      <name val="Calibri"/>
      <family val="2"/>
      <scheme val="minor"/>
    </font>
    <font>
      <b/>
      <sz val="11"/>
      <color theme="1"/>
      <name val="Calibri"/>
      <family val="2"/>
      <scheme val="minor"/>
    </font>
    <font>
      <b/>
      <sz val="11"/>
      <color theme="3"/>
      <name val="Calibri"/>
      <family val="2"/>
      <scheme val="minor"/>
    </font>
    <font>
      <sz val="11"/>
      <color theme="3"/>
      <name val="Calibri"/>
      <family val="2"/>
      <scheme val="minor"/>
    </font>
    <font>
      <sz val="11"/>
      <color theme="1"/>
      <name val="Calibri"/>
      <family val="2"/>
      <scheme val="minor"/>
    </font>
    <font>
      <sz val="11"/>
      <color rgb="FF00000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2" tint="-0.499984740745262"/>
        <bgColor indexed="64"/>
      </patternFill>
    </fill>
    <fill>
      <patternFill patternType="solid">
        <fgColor rgb="FFFFFFFF"/>
        <bgColor rgb="FF000000"/>
      </patternFill>
    </fill>
    <fill>
      <patternFill patternType="solid">
        <fgColor theme="0"/>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43" fontId="4" fillId="0" borderId="0" applyFont="0" applyFill="0" applyBorder="0" applyAlignment="0" applyProtection="0"/>
  </cellStyleXfs>
  <cellXfs count="32">
    <xf numFmtId="0" fontId="0" fillId="0" borderId="0" xfId="0"/>
    <xf numFmtId="0" fontId="0" fillId="0" borderId="1" xfId="0" applyBorder="1"/>
    <xf numFmtId="0" fontId="1" fillId="2" borderId="0" xfId="0" applyFont="1" applyFill="1"/>
    <xf numFmtId="14" fontId="0" fillId="0" borderId="1" xfId="0" applyNumberFormat="1" applyBorder="1"/>
    <xf numFmtId="14" fontId="0" fillId="0" borderId="0" xfId="0" applyNumberFormat="1"/>
    <xf numFmtId="0" fontId="0" fillId="0" borderId="2" xfId="0" applyBorder="1"/>
    <xf numFmtId="0" fontId="3" fillId="3" borderId="2" xfId="0" applyFont="1" applyFill="1" applyBorder="1"/>
    <xf numFmtId="0" fontId="3" fillId="3" borderId="1" xfId="0" applyFont="1" applyFill="1" applyBorder="1"/>
    <xf numFmtId="0" fontId="3" fillId="3" borderId="0" xfId="0" applyFont="1" applyFill="1"/>
    <xf numFmtId="0" fontId="2" fillId="2" borderId="0" xfId="0" applyFont="1" applyFill="1"/>
    <xf numFmtId="14" fontId="3" fillId="3" borderId="1" xfId="0" applyNumberFormat="1" applyFont="1" applyFill="1" applyBorder="1"/>
    <xf numFmtId="0" fontId="0" fillId="2" borderId="1" xfId="0" applyFill="1" applyBorder="1"/>
    <xf numFmtId="14" fontId="0" fillId="2" borderId="1" xfId="0" applyNumberFormat="1" applyFill="1" applyBorder="1"/>
    <xf numFmtId="0" fontId="0" fillId="0" borderId="0" xfId="0" pivotButton="1"/>
    <xf numFmtId="0" fontId="0" fillId="0" borderId="0" xfId="0" applyAlignment="1">
      <alignment horizontal="left"/>
    </xf>
    <xf numFmtId="0" fontId="5" fillId="5" borderId="0" xfId="0" applyFont="1" applyFill="1" applyAlignment="1">
      <alignment horizontal="center"/>
    </xf>
    <xf numFmtId="0" fontId="5" fillId="0" borderId="0" xfId="0" applyFont="1" applyAlignment="1">
      <alignment horizontal="center"/>
    </xf>
    <xf numFmtId="0" fontId="5" fillId="4" borderId="0" xfId="0" applyFont="1" applyFill="1" applyAlignment="1">
      <alignment horizontal="center"/>
    </xf>
    <xf numFmtId="0" fontId="0" fillId="0" borderId="0" xfId="0" applyAlignment="1">
      <alignment horizontal="center"/>
    </xf>
    <xf numFmtId="0" fontId="0" fillId="2" borderId="0" xfId="0" applyFill="1" applyAlignment="1">
      <alignment horizontal="center"/>
    </xf>
    <xf numFmtId="43" fontId="0" fillId="2" borderId="0" xfId="1" applyFont="1" applyFill="1" applyBorder="1" applyAlignment="1">
      <alignment horizontal="center"/>
    </xf>
    <xf numFmtId="0" fontId="0" fillId="0" borderId="4" xfId="0" applyBorder="1"/>
    <xf numFmtId="14" fontId="0" fillId="0" borderId="5" xfId="0" applyNumberFormat="1" applyBorder="1"/>
    <xf numFmtId="0" fontId="0" fillId="0" borderId="5" xfId="0" applyBorder="1"/>
    <xf numFmtId="164" fontId="3" fillId="3" borderId="3" xfId="0" applyNumberFormat="1" applyFont="1" applyFill="1" applyBorder="1"/>
    <xf numFmtId="164" fontId="0" fillId="0" borderId="0" xfId="0" applyNumberFormat="1"/>
    <xf numFmtId="165" fontId="3" fillId="3" borderId="1" xfId="0" applyNumberFormat="1" applyFont="1" applyFill="1" applyBorder="1"/>
    <xf numFmtId="165" fontId="0" fillId="0" borderId="1" xfId="0" applyNumberFormat="1" applyBorder="1"/>
    <xf numFmtId="165" fontId="0" fillId="0" borderId="5" xfId="0" applyNumberFormat="1" applyBorder="1"/>
    <xf numFmtId="165" fontId="0" fillId="0" borderId="0" xfId="0" applyNumberFormat="1"/>
    <xf numFmtId="165" fontId="3" fillId="3" borderId="3" xfId="0" applyNumberFormat="1" applyFont="1" applyFill="1" applyBorder="1"/>
    <xf numFmtId="165" fontId="0" fillId="0" borderId="0" xfId="0" applyNumberFormat="1" applyAlignment="1">
      <alignment horizontal="left"/>
    </xf>
  </cellXfs>
  <cellStyles count="2">
    <cellStyle name="Comma" xfId="1" builtinId="3"/>
    <cellStyle name="Normal" xfId="0" builtinId="0"/>
  </cellStyles>
  <dxfs count="44">
    <dxf>
      <numFmt numFmtId="165" formatCode="&quot;$&quot;#,##0.00;[Red]&quot;$&quot;#,##0.00"/>
    </dxf>
    <dxf>
      <numFmt numFmtId="165" formatCode="&quot;$&quot;#,##0.00;[Red]&quot;$&quot;#,##0.00"/>
    </dxf>
    <dxf>
      <numFmt numFmtId="165" formatCode="&quot;$&quot;#,##0.00;[Red]&quot;$&quot;#,##0.00"/>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65" formatCode="&quot;$&quot;#,##0.00;[Red]&quot;$&quot;#,##0.00"/>
    </dxf>
    <dxf>
      <numFmt numFmtId="165" formatCode="&quot;$&quot;#,##0.00;[Red]&quot;$&quot;#,##0.00"/>
    </dxf>
    <dxf>
      <numFmt numFmtId="164" formatCode="&quot;$&quot;#,##0.00"/>
    </dxf>
    <dxf>
      <numFmt numFmtId="164" formatCode="&quot;$&quot;#,##0.00"/>
    </dxf>
    <dxf>
      <numFmt numFmtId="0" formatCode="General"/>
    </dxf>
    <dxf>
      <numFmt numFmtId="0" formatCode="General"/>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numFmt numFmtId="165" formatCode="&quot;$&quot;#,##0.00;[Red]&quot;$&quot;#,##0.00"/>
      <border diagonalUp="0" diagonalDown="0" outline="0">
        <left style="thin">
          <color indexed="64"/>
        </left>
        <right style="thin">
          <color indexed="64"/>
        </right>
        <top style="thin">
          <color indexed="64"/>
        </top>
        <bottom/>
      </border>
    </dxf>
    <dxf>
      <numFmt numFmtId="165" formatCode="&quot;$&quot;#,##0.00;[Red]&quot;$&quot;#,##0.00"/>
      <border diagonalUp="0" diagonalDown="0">
        <left style="thin">
          <color indexed="64"/>
        </left>
        <right style="thin">
          <color indexed="64"/>
        </right>
        <top style="thin">
          <color indexed="64"/>
        </top>
        <bottom style="thin">
          <color indexed="64"/>
        </bottom>
        <vertical/>
        <horizontal/>
      </border>
    </dxf>
    <dxf>
      <numFmt numFmtId="165" formatCode="&quot;$&quot;#,##0.00;[Red]&quot;$&quot;#,##0.00"/>
      <border diagonalUp="0" diagonalDown="0" outline="0">
        <left style="thin">
          <color indexed="64"/>
        </left>
        <right style="thin">
          <color indexed="64"/>
        </right>
        <top style="thin">
          <color indexed="64"/>
        </top>
        <bottom/>
      </border>
    </dxf>
    <dxf>
      <numFmt numFmtId="165" formatCode="&quot;$&quot;#,##0.00;[Red]&quot;$&quot;#,##0.00"/>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numFmt numFmtId="19" formatCode="dd/mm/yy"/>
      <border diagonalUp="0" diagonalDown="0" outline="0">
        <left style="thin">
          <color indexed="64"/>
        </left>
        <right style="thin">
          <color indexed="64"/>
        </right>
        <top style="thin">
          <color indexed="64"/>
        </top>
        <bottom/>
      </border>
    </dxf>
    <dxf>
      <numFmt numFmtId="19" formatCode="dd/mm/yy"/>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horizontal/>
      </border>
    </dxf>
    <dxf>
      <border outline="0">
        <left style="thin">
          <color indexed="64"/>
        </left>
      </border>
    </dxf>
    <dxf>
      <font>
        <b val="0"/>
        <i val="0"/>
        <strike val="0"/>
        <condense val="0"/>
        <extend val="0"/>
        <outline val="0"/>
        <shadow val="0"/>
        <u val="none"/>
        <vertAlign val="baseline"/>
        <sz val="11"/>
        <color theme="3"/>
        <name val="Calibri"/>
        <family val="2"/>
        <scheme val="minor"/>
      </font>
      <fill>
        <patternFill patternType="solid">
          <fgColor indexed="64"/>
          <bgColor theme="2" tint="-0.499984740745262"/>
        </patternFill>
      </fill>
      <border diagonalUp="0" diagonalDown="0" outline="0">
        <left style="thin">
          <color indexed="64"/>
        </left>
        <right style="thin">
          <color indexed="64"/>
        </right>
        <top/>
        <bottom/>
      </border>
    </dxf>
    <dxf>
      <numFmt numFmtId="165" formatCode="&quot;$&quot;#,##0.00;[Red]&quot;$&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Region</a:t>
            </a:r>
          </a:p>
        </c:rich>
      </c:tx>
      <c:layout>
        <c:manualLayout>
          <c:xMode val="edge"/>
          <c:yMode val="edge"/>
          <c:x val="0.38614676957697863"/>
          <c:y val="8.07653524698318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Pivort!$B$2</c:f>
              <c:strCache>
                <c:ptCount val="1"/>
                <c:pt idx="0">
                  <c:v>Total</c:v>
                </c:pt>
              </c:strCache>
            </c:strRef>
          </c:tx>
          <c:spPr>
            <a:solidFill>
              <a:schemeClr val="accent1"/>
            </a:solidFill>
            <a:ln>
              <a:noFill/>
            </a:ln>
            <a:effectLst/>
          </c:spPr>
          <c:invertIfNegative val="0"/>
          <c:cat>
            <c:strRef>
              <c:f>Pivort!$A$3:$A$8</c:f>
              <c:strCache>
                <c:ptCount val="5"/>
                <c:pt idx="0">
                  <c:v>North Central</c:v>
                </c:pt>
                <c:pt idx="1">
                  <c:v>North West</c:v>
                </c:pt>
                <c:pt idx="2">
                  <c:v>South East</c:v>
                </c:pt>
                <c:pt idx="3">
                  <c:v>South South</c:v>
                </c:pt>
                <c:pt idx="4">
                  <c:v>South West</c:v>
                </c:pt>
              </c:strCache>
            </c:strRef>
          </c:cat>
          <c:val>
            <c:numRef>
              <c:f>Pivort!$B$3:$B$8</c:f>
              <c:numCache>
                <c:formatCode>"$"#,##0.00;[Red]"$"#,##0.00</c:formatCode>
                <c:ptCount val="5"/>
                <c:pt idx="0">
                  <c:v>225762.34999999998</c:v>
                </c:pt>
                <c:pt idx="1">
                  <c:v>110635.7</c:v>
                </c:pt>
                <c:pt idx="2">
                  <c:v>136264.25</c:v>
                </c:pt>
                <c:pt idx="3">
                  <c:v>112950.40000000001</c:v>
                </c:pt>
                <c:pt idx="4">
                  <c:v>166475.4</c:v>
                </c:pt>
              </c:numCache>
            </c:numRef>
          </c:val>
          <c:extLst>
            <c:ext xmlns:c16="http://schemas.microsoft.com/office/drawing/2014/chart" uri="{C3380CC4-5D6E-409C-BE32-E72D297353CC}">
              <c16:uniqueId val="{00000000-B09E-44E8-82D2-4BEB650C05A3}"/>
            </c:ext>
          </c:extLst>
        </c:ser>
        <c:dLbls>
          <c:showLegendKey val="0"/>
          <c:showVal val="0"/>
          <c:showCatName val="0"/>
          <c:showSerName val="0"/>
          <c:showPercent val="0"/>
          <c:showBubbleSize val="0"/>
        </c:dLbls>
        <c:gapWidth val="219"/>
        <c:overlap val="-27"/>
        <c:axId val="1657754719"/>
        <c:axId val="1271343759"/>
      </c:barChart>
      <c:catAx>
        <c:axId val="165775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43759"/>
        <c:crosses val="autoZero"/>
        <c:auto val="1"/>
        <c:lblAlgn val="ctr"/>
        <c:lblOffset val="100"/>
        <c:noMultiLvlLbl val="0"/>
      </c:catAx>
      <c:valAx>
        <c:axId val="12713437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75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layout>
        <c:manualLayout>
          <c:xMode val="edge"/>
          <c:yMode val="edge"/>
          <c:x val="0.43423470898822469"/>
          <c:y val="8.65481581000506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Pivort!$N$2</c:f>
              <c:strCache>
                <c:ptCount val="1"/>
                <c:pt idx="0">
                  <c:v>Total</c:v>
                </c:pt>
              </c:strCache>
            </c:strRef>
          </c:tx>
          <c:spPr>
            <a:solidFill>
              <a:schemeClr val="accent1"/>
            </a:solidFill>
            <a:ln>
              <a:noFill/>
            </a:ln>
            <a:effectLst/>
          </c:spPr>
          <c:invertIfNegative val="0"/>
          <c:cat>
            <c:strRef>
              <c:f>Pivort!$M$3:$M$6</c:f>
              <c:strCache>
                <c:ptCount val="3"/>
                <c:pt idx="0">
                  <c:v>Electronics</c:v>
                </c:pt>
                <c:pt idx="1">
                  <c:v>Furniture</c:v>
                </c:pt>
                <c:pt idx="2">
                  <c:v>Stationery</c:v>
                </c:pt>
              </c:strCache>
            </c:strRef>
          </c:cat>
          <c:val>
            <c:numRef>
              <c:f>Pivort!$N$3:$N$6</c:f>
              <c:numCache>
                <c:formatCode>General</c:formatCode>
                <c:ptCount val="3"/>
                <c:pt idx="0">
                  <c:v>1542</c:v>
                </c:pt>
                <c:pt idx="1">
                  <c:v>600</c:v>
                </c:pt>
                <c:pt idx="2">
                  <c:v>678</c:v>
                </c:pt>
              </c:numCache>
            </c:numRef>
          </c:val>
          <c:extLst>
            <c:ext xmlns:c16="http://schemas.microsoft.com/office/drawing/2014/chart" uri="{C3380CC4-5D6E-409C-BE32-E72D297353CC}">
              <c16:uniqueId val="{00000000-7438-4603-BB72-2C5358C529FE}"/>
            </c:ext>
          </c:extLst>
        </c:ser>
        <c:dLbls>
          <c:showLegendKey val="0"/>
          <c:showVal val="0"/>
          <c:showCatName val="0"/>
          <c:showSerName val="0"/>
          <c:showPercent val="0"/>
          <c:showBubbleSize val="0"/>
        </c:dLbls>
        <c:gapWidth val="182"/>
        <c:axId val="1657733375"/>
        <c:axId val="1271378799"/>
      </c:barChart>
      <c:catAx>
        <c:axId val="165773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78799"/>
        <c:crosses val="autoZero"/>
        <c:auto val="1"/>
        <c:lblAlgn val="ctr"/>
        <c:lblOffset val="100"/>
        <c:noMultiLvlLbl val="0"/>
      </c:catAx>
      <c:valAx>
        <c:axId val="1271378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73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Performance</a:t>
            </a:r>
          </a:p>
        </c:rich>
      </c:tx>
      <c:layout>
        <c:manualLayout>
          <c:xMode val="edge"/>
          <c:yMode val="edge"/>
          <c:x val="0.39819857466366931"/>
          <c:y val="6.54102366415813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2150395843928"/>
          <c:y val="0.20150804101310621"/>
          <c:w val="0.80591128467876771"/>
          <c:h val="0.71136681578444405"/>
        </c:manualLayout>
      </c:layout>
      <c:barChart>
        <c:barDir val="bar"/>
        <c:grouping val="clustered"/>
        <c:varyColors val="0"/>
        <c:ser>
          <c:idx val="0"/>
          <c:order val="0"/>
          <c:tx>
            <c:strRef>
              <c:f>Pivort!$Z$2</c:f>
              <c:strCache>
                <c:ptCount val="1"/>
                <c:pt idx="0">
                  <c:v>Total</c:v>
                </c:pt>
              </c:strCache>
            </c:strRef>
          </c:tx>
          <c:spPr>
            <a:solidFill>
              <a:schemeClr val="accent1"/>
            </a:solidFill>
            <a:ln>
              <a:noFill/>
            </a:ln>
            <a:effectLst/>
          </c:spPr>
          <c:invertIfNegative val="0"/>
          <c:cat>
            <c:strRef>
              <c:f>Pivort!$Y$3:$Y$11</c:f>
              <c:strCache>
                <c:ptCount val="8"/>
                <c:pt idx="0">
                  <c:v>Chair</c:v>
                </c:pt>
                <c:pt idx="1">
                  <c:v>Desk</c:v>
                </c:pt>
                <c:pt idx="2">
                  <c:v>Laptop</c:v>
                </c:pt>
                <c:pt idx="3">
                  <c:v>Mouse</c:v>
                </c:pt>
                <c:pt idx="4">
                  <c:v>Notebook</c:v>
                </c:pt>
                <c:pt idx="5">
                  <c:v>Pen</c:v>
                </c:pt>
                <c:pt idx="6">
                  <c:v>Phone</c:v>
                </c:pt>
                <c:pt idx="7">
                  <c:v>Printer</c:v>
                </c:pt>
              </c:strCache>
            </c:strRef>
          </c:cat>
          <c:val>
            <c:numRef>
              <c:f>Pivort!$Z$3:$Z$11</c:f>
              <c:numCache>
                <c:formatCode>General</c:formatCode>
                <c:ptCount val="8"/>
                <c:pt idx="0">
                  <c:v>275</c:v>
                </c:pt>
                <c:pt idx="1">
                  <c:v>325</c:v>
                </c:pt>
                <c:pt idx="2">
                  <c:v>430</c:v>
                </c:pt>
                <c:pt idx="3">
                  <c:v>413</c:v>
                </c:pt>
                <c:pt idx="4">
                  <c:v>331</c:v>
                </c:pt>
                <c:pt idx="5">
                  <c:v>347</c:v>
                </c:pt>
                <c:pt idx="6">
                  <c:v>338</c:v>
                </c:pt>
                <c:pt idx="7">
                  <c:v>361</c:v>
                </c:pt>
              </c:numCache>
            </c:numRef>
          </c:val>
          <c:extLst>
            <c:ext xmlns:c16="http://schemas.microsoft.com/office/drawing/2014/chart" uri="{C3380CC4-5D6E-409C-BE32-E72D297353CC}">
              <c16:uniqueId val="{00000000-6CCB-4BEA-A64C-65DFECB82C39}"/>
            </c:ext>
          </c:extLst>
        </c:ser>
        <c:dLbls>
          <c:showLegendKey val="0"/>
          <c:showVal val="0"/>
          <c:showCatName val="0"/>
          <c:showSerName val="0"/>
          <c:showPercent val="0"/>
          <c:showBubbleSize val="0"/>
        </c:dLbls>
        <c:gapWidth val="182"/>
        <c:axId val="1657673055"/>
        <c:axId val="1271325999"/>
      </c:barChart>
      <c:catAx>
        <c:axId val="165767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25999"/>
        <c:crosses val="autoZero"/>
        <c:auto val="1"/>
        <c:lblAlgn val="ctr"/>
        <c:lblOffset val="100"/>
        <c:noMultiLvlLbl val="0"/>
      </c:catAx>
      <c:valAx>
        <c:axId val="1271325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67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SalesPerson</a:t>
            </a:r>
            <a:r>
              <a:rPr lang="en-US" baseline="0"/>
              <a:t> Performance</a:t>
            </a:r>
            <a:endParaRPr lang="en-US"/>
          </a:p>
        </c:rich>
      </c:tx>
      <c:layout>
        <c:manualLayout>
          <c:xMode val="edge"/>
          <c:yMode val="edge"/>
          <c:x val="0.36194806717121525"/>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Pivort!$B$17</c:f>
              <c:strCache>
                <c:ptCount val="1"/>
                <c:pt idx="0">
                  <c:v>Total</c:v>
                </c:pt>
              </c:strCache>
            </c:strRef>
          </c:tx>
          <c:spPr>
            <a:solidFill>
              <a:schemeClr val="accent1"/>
            </a:solidFill>
            <a:ln>
              <a:noFill/>
            </a:ln>
            <a:effectLst/>
          </c:spPr>
          <c:invertIfNegative val="0"/>
          <c:cat>
            <c:strRef>
              <c:f>Pivort!$A$18:$A$24</c:f>
              <c:strCache>
                <c:ptCount val="6"/>
                <c:pt idx="0">
                  <c:v>Ada</c:v>
                </c:pt>
                <c:pt idx="1">
                  <c:v>Ife</c:v>
                </c:pt>
                <c:pt idx="2">
                  <c:v>Mike</c:v>
                </c:pt>
                <c:pt idx="3">
                  <c:v>Paul</c:v>
                </c:pt>
                <c:pt idx="4">
                  <c:v>Rose</c:v>
                </c:pt>
                <c:pt idx="5">
                  <c:v>Samuel</c:v>
                </c:pt>
              </c:strCache>
            </c:strRef>
          </c:cat>
          <c:val>
            <c:numRef>
              <c:f>Pivort!$B$18:$B$24</c:f>
              <c:numCache>
                <c:formatCode>General</c:formatCode>
                <c:ptCount val="6"/>
                <c:pt idx="0">
                  <c:v>444</c:v>
                </c:pt>
                <c:pt idx="1">
                  <c:v>410</c:v>
                </c:pt>
                <c:pt idx="2">
                  <c:v>455</c:v>
                </c:pt>
                <c:pt idx="3">
                  <c:v>632</c:v>
                </c:pt>
                <c:pt idx="4">
                  <c:v>412</c:v>
                </c:pt>
                <c:pt idx="5">
                  <c:v>467</c:v>
                </c:pt>
              </c:numCache>
            </c:numRef>
          </c:val>
          <c:extLst>
            <c:ext xmlns:c16="http://schemas.microsoft.com/office/drawing/2014/chart" uri="{C3380CC4-5D6E-409C-BE32-E72D297353CC}">
              <c16:uniqueId val="{00000000-994B-42AF-A6BF-1E60466626FD}"/>
            </c:ext>
          </c:extLst>
        </c:ser>
        <c:dLbls>
          <c:showLegendKey val="0"/>
          <c:showVal val="0"/>
          <c:showCatName val="0"/>
          <c:showSerName val="0"/>
          <c:showPercent val="0"/>
          <c:showBubbleSize val="0"/>
        </c:dLbls>
        <c:gapWidth val="182"/>
        <c:axId val="1657746367"/>
        <c:axId val="1271365359"/>
      </c:barChart>
      <c:catAx>
        <c:axId val="1657746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65359"/>
        <c:crosses val="autoZero"/>
        <c:auto val="1"/>
        <c:lblAlgn val="ctr"/>
        <c:lblOffset val="100"/>
        <c:noMultiLvlLbl val="0"/>
      </c:catAx>
      <c:valAx>
        <c:axId val="1271365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74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a:t>
            </a:r>
            <a:r>
              <a:rPr lang="en-US" baseline="0"/>
              <a:t> Analysis</a:t>
            </a:r>
            <a:endParaRPr lang="en-US"/>
          </a:p>
        </c:rich>
      </c:tx>
      <c:layout>
        <c:manualLayout>
          <c:xMode val="edge"/>
          <c:yMode val="edge"/>
          <c:x val="0.2989586910673494"/>
          <c:y val="6.60168619093961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Pivort!$N$17</c:f>
              <c:strCache>
                <c:ptCount val="1"/>
                <c:pt idx="0">
                  <c:v>Total</c:v>
                </c:pt>
              </c:strCache>
            </c:strRef>
          </c:tx>
          <c:spPr>
            <a:solidFill>
              <a:schemeClr val="accent1"/>
            </a:solidFill>
            <a:ln w="19050">
              <a:solidFill>
                <a:schemeClr val="lt1"/>
              </a:solidFill>
            </a:ln>
            <a:effectLst/>
          </c:spPr>
          <c:invertIfNegative val="0"/>
          <c:cat>
            <c:strRef>
              <c:f>Pivort!$M$18:$M$22</c:f>
              <c:strCache>
                <c:ptCount val="4"/>
                <c:pt idx="0">
                  <c:v>Card</c:v>
                </c:pt>
                <c:pt idx="1">
                  <c:v>Cash</c:v>
                </c:pt>
                <c:pt idx="2">
                  <c:v>POS</c:v>
                </c:pt>
                <c:pt idx="3">
                  <c:v>Transfer</c:v>
                </c:pt>
              </c:strCache>
            </c:strRef>
          </c:cat>
          <c:val>
            <c:numRef>
              <c:f>Pivort!$N$18:$N$22</c:f>
              <c:numCache>
                <c:formatCode>General</c:formatCode>
                <c:ptCount val="4"/>
                <c:pt idx="0">
                  <c:v>135</c:v>
                </c:pt>
                <c:pt idx="1">
                  <c:v>132</c:v>
                </c:pt>
                <c:pt idx="2">
                  <c:v>110</c:v>
                </c:pt>
                <c:pt idx="3">
                  <c:v>123</c:v>
                </c:pt>
              </c:numCache>
            </c:numRef>
          </c:val>
          <c:extLst>
            <c:ext xmlns:c16="http://schemas.microsoft.com/office/drawing/2014/chart" uri="{C3380CC4-5D6E-409C-BE32-E72D297353CC}">
              <c16:uniqueId val="{00000000-95C5-4808-B6C2-4E173A611641}"/>
            </c:ext>
          </c:extLst>
        </c:ser>
        <c:dLbls>
          <c:showLegendKey val="0"/>
          <c:showVal val="0"/>
          <c:showCatName val="0"/>
          <c:showSerName val="0"/>
          <c:showPercent val="0"/>
          <c:showBubbleSize val="0"/>
        </c:dLbls>
        <c:gapWidth val="150"/>
        <c:axId val="1657705071"/>
        <c:axId val="1271381679"/>
      </c:barChart>
      <c:catAx>
        <c:axId val="1657705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81679"/>
        <c:crosses val="autoZero"/>
        <c:auto val="1"/>
        <c:lblAlgn val="ctr"/>
        <c:lblOffset val="100"/>
        <c:noMultiLvlLbl val="0"/>
      </c:catAx>
      <c:valAx>
        <c:axId val="127138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70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SalesPerson </a:t>
            </a:r>
            <a:r>
              <a:rPr lang="en-US" baseline="0"/>
              <a:t>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barChart>
        <c:barDir val="bar"/>
        <c:grouping val="clustered"/>
        <c:varyColors val="0"/>
        <c:ser>
          <c:idx val="0"/>
          <c:order val="0"/>
          <c:tx>
            <c:strRef>
              <c:f>Pivort!$Z$17</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5EBE-452B-BE5C-58B211CFE630}"/>
              </c:ext>
            </c:extLst>
          </c:dPt>
          <c:dPt>
            <c:idx val="1"/>
            <c:invertIfNegative val="0"/>
            <c:bubble3D val="0"/>
            <c:extLst>
              <c:ext xmlns:c16="http://schemas.microsoft.com/office/drawing/2014/chart" uri="{C3380CC4-5D6E-409C-BE32-E72D297353CC}">
                <c16:uniqueId val="{00000003-5EBE-452B-BE5C-58B211CFE630}"/>
              </c:ext>
            </c:extLst>
          </c:dPt>
          <c:cat>
            <c:strRef>
              <c:f>Pivort!$Y$18:$Y$24</c:f>
              <c:strCache>
                <c:ptCount val="6"/>
                <c:pt idx="0">
                  <c:v>Ada</c:v>
                </c:pt>
                <c:pt idx="1">
                  <c:v>Ife</c:v>
                </c:pt>
                <c:pt idx="2">
                  <c:v>Mike</c:v>
                </c:pt>
                <c:pt idx="3">
                  <c:v>Paul</c:v>
                </c:pt>
                <c:pt idx="4">
                  <c:v>Rose</c:v>
                </c:pt>
                <c:pt idx="5">
                  <c:v>Samuel</c:v>
                </c:pt>
              </c:strCache>
            </c:strRef>
          </c:cat>
          <c:val>
            <c:numRef>
              <c:f>Pivort!$Z$18:$Z$24</c:f>
              <c:numCache>
                <c:formatCode>General</c:formatCode>
                <c:ptCount val="6"/>
                <c:pt idx="0">
                  <c:v>79</c:v>
                </c:pt>
                <c:pt idx="1">
                  <c:v>77</c:v>
                </c:pt>
                <c:pt idx="2">
                  <c:v>75</c:v>
                </c:pt>
                <c:pt idx="3">
                  <c:v>116</c:v>
                </c:pt>
                <c:pt idx="4">
                  <c:v>78</c:v>
                </c:pt>
                <c:pt idx="5">
                  <c:v>75</c:v>
                </c:pt>
              </c:numCache>
            </c:numRef>
          </c:val>
          <c:extLst>
            <c:ext xmlns:c16="http://schemas.microsoft.com/office/drawing/2014/chart" uri="{C3380CC4-5D6E-409C-BE32-E72D297353CC}">
              <c16:uniqueId val="{00000000-DE0E-4C8F-A2AE-A6D770631E40}"/>
            </c:ext>
          </c:extLst>
        </c:ser>
        <c:dLbls>
          <c:showLegendKey val="0"/>
          <c:showVal val="0"/>
          <c:showCatName val="0"/>
          <c:showSerName val="0"/>
          <c:showPercent val="0"/>
          <c:showBubbleSize val="0"/>
        </c:dLbls>
        <c:gapWidth val="100"/>
        <c:axId val="2120956111"/>
        <c:axId val="1384089583"/>
      </c:barChart>
      <c:valAx>
        <c:axId val="1384089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956111"/>
        <c:crosses val="autoZero"/>
        <c:crossBetween val="between"/>
      </c:valAx>
      <c:catAx>
        <c:axId val="21209561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0895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Distribution</a:t>
            </a:r>
            <a:r>
              <a:rPr lang="en-US" baseline="0"/>
              <a:t> by Region</a:t>
            </a:r>
          </a:p>
        </c:rich>
      </c:tx>
      <c:layout>
        <c:manualLayout>
          <c:xMode val="edge"/>
          <c:yMode val="edge"/>
          <c:x val="0.30120822397200353"/>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Pivort!$B$34</c:f>
              <c:strCache>
                <c:ptCount val="1"/>
                <c:pt idx="0">
                  <c:v>Total</c:v>
                </c:pt>
              </c:strCache>
            </c:strRef>
          </c:tx>
          <c:spPr>
            <a:solidFill>
              <a:schemeClr val="accent1"/>
            </a:solidFill>
            <a:ln>
              <a:noFill/>
            </a:ln>
            <a:effectLst/>
          </c:spPr>
          <c:invertIfNegative val="0"/>
          <c:cat>
            <c:strRef>
              <c:f>Pivort!$A$35:$A$40</c:f>
              <c:strCache>
                <c:ptCount val="5"/>
                <c:pt idx="0">
                  <c:v>North Central</c:v>
                </c:pt>
                <c:pt idx="1">
                  <c:v>North West</c:v>
                </c:pt>
                <c:pt idx="2">
                  <c:v>South East</c:v>
                </c:pt>
                <c:pt idx="3">
                  <c:v>South South</c:v>
                </c:pt>
                <c:pt idx="4">
                  <c:v>South West</c:v>
                </c:pt>
              </c:strCache>
            </c:strRef>
          </c:cat>
          <c:val>
            <c:numRef>
              <c:f>Pivort!$B$35:$B$40</c:f>
              <c:numCache>
                <c:formatCode>General</c:formatCode>
                <c:ptCount val="5"/>
                <c:pt idx="0">
                  <c:v>121</c:v>
                </c:pt>
                <c:pt idx="1">
                  <c:v>86</c:v>
                </c:pt>
                <c:pt idx="2">
                  <c:v>93</c:v>
                </c:pt>
                <c:pt idx="3">
                  <c:v>95</c:v>
                </c:pt>
                <c:pt idx="4">
                  <c:v>105</c:v>
                </c:pt>
              </c:numCache>
            </c:numRef>
          </c:val>
          <c:extLst>
            <c:ext xmlns:c16="http://schemas.microsoft.com/office/drawing/2014/chart" uri="{C3380CC4-5D6E-409C-BE32-E72D297353CC}">
              <c16:uniqueId val="{00000000-D26A-463A-8A89-C024C59C98A2}"/>
            </c:ext>
          </c:extLst>
        </c:ser>
        <c:dLbls>
          <c:showLegendKey val="0"/>
          <c:showVal val="0"/>
          <c:showCatName val="0"/>
          <c:showSerName val="0"/>
          <c:showPercent val="0"/>
          <c:showBubbleSize val="0"/>
        </c:dLbls>
        <c:gapWidth val="150"/>
        <c:axId val="75965664"/>
        <c:axId val="1560843503"/>
      </c:barChart>
      <c:catAx>
        <c:axId val="7596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843503"/>
        <c:crosses val="autoZero"/>
        <c:auto val="1"/>
        <c:lblAlgn val="ctr"/>
        <c:lblOffset val="100"/>
        <c:noMultiLvlLbl val="0"/>
      </c:catAx>
      <c:valAx>
        <c:axId val="156084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6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Performance</a:t>
            </a:r>
          </a:p>
        </c:rich>
      </c:tx>
      <c:layout>
        <c:manualLayout>
          <c:xMode val="edge"/>
          <c:yMode val="edge"/>
          <c:x val="0.40602082273962331"/>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Pivort!$N$34</c:f>
              <c:strCache>
                <c:ptCount val="1"/>
                <c:pt idx="0">
                  <c:v>Total</c:v>
                </c:pt>
              </c:strCache>
            </c:strRef>
          </c:tx>
          <c:spPr>
            <a:solidFill>
              <a:schemeClr val="accent1"/>
            </a:solidFill>
            <a:ln>
              <a:noFill/>
            </a:ln>
            <a:effectLst/>
          </c:spPr>
          <c:invertIfNegative val="0"/>
          <c:cat>
            <c:strRef>
              <c:f>Pivort!$M$35:$M$40</c:f>
              <c:strCache>
                <c:ptCount val="5"/>
                <c:pt idx="0">
                  <c:v>Abuja</c:v>
                </c:pt>
                <c:pt idx="1">
                  <c:v>Enugu</c:v>
                </c:pt>
                <c:pt idx="2">
                  <c:v>Kano</c:v>
                </c:pt>
                <c:pt idx="3">
                  <c:v>Lagos</c:v>
                </c:pt>
                <c:pt idx="4">
                  <c:v>Port Harcourt</c:v>
                </c:pt>
              </c:strCache>
            </c:strRef>
          </c:cat>
          <c:val>
            <c:numRef>
              <c:f>Pivort!$N$35:$N$40</c:f>
              <c:numCache>
                <c:formatCode>General</c:formatCode>
                <c:ptCount val="5"/>
                <c:pt idx="0">
                  <c:v>121</c:v>
                </c:pt>
                <c:pt idx="1">
                  <c:v>93</c:v>
                </c:pt>
                <c:pt idx="2">
                  <c:v>86</c:v>
                </c:pt>
                <c:pt idx="3">
                  <c:v>105</c:v>
                </c:pt>
                <c:pt idx="4">
                  <c:v>95</c:v>
                </c:pt>
              </c:numCache>
            </c:numRef>
          </c:val>
          <c:extLst>
            <c:ext xmlns:c16="http://schemas.microsoft.com/office/drawing/2014/chart" uri="{C3380CC4-5D6E-409C-BE32-E72D297353CC}">
              <c16:uniqueId val="{00000000-FABF-447C-A9C6-1EC7E693E622}"/>
            </c:ext>
          </c:extLst>
        </c:ser>
        <c:dLbls>
          <c:showLegendKey val="0"/>
          <c:showVal val="0"/>
          <c:showCatName val="0"/>
          <c:showSerName val="0"/>
          <c:showPercent val="0"/>
          <c:showBubbleSize val="0"/>
        </c:dLbls>
        <c:gapWidth val="182"/>
        <c:axId val="165904400"/>
        <c:axId val="1271356719"/>
      </c:barChart>
      <c:catAx>
        <c:axId val="165904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56719"/>
        <c:crosses val="autoZero"/>
        <c:auto val="1"/>
        <c:lblAlgn val="ctr"/>
        <c:lblOffset val="100"/>
        <c:noMultiLvlLbl val="0"/>
      </c:catAx>
      <c:valAx>
        <c:axId val="127135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by Month</a:t>
            </a:r>
            <a:endParaRPr lang="en-US"/>
          </a:p>
        </c:rich>
      </c:tx>
      <c:layout>
        <c:manualLayout>
          <c:xMode val="edge"/>
          <c:yMode val="edge"/>
          <c:x val="0.34863979938248502"/>
          <c:y val="6.22285280463975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Pivort!$Z$34</c:f>
              <c:strCache>
                <c:ptCount val="1"/>
                <c:pt idx="0">
                  <c:v>Total</c:v>
                </c:pt>
              </c:strCache>
            </c:strRef>
          </c:tx>
          <c:spPr>
            <a:ln w="28575" cap="rnd">
              <a:solidFill>
                <a:schemeClr val="accent1"/>
              </a:solidFill>
              <a:round/>
            </a:ln>
            <a:effectLst/>
          </c:spPr>
          <c:marker>
            <c:symbol val="none"/>
          </c:marker>
          <c:cat>
            <c:strRef>
              <c:f>Pivort!$Y$35:$Y$41</c:f>
              <c:strCache>
                <c:ptCount val="6"/>
                <c:pt idx="0">
                  <c:v>Jan</c:v>
                </c:pt>
                <c:pt idx="1">
                  <c:v>Feb</c:v>
                </c:pt>
                <c:pt idx="2">
                  <c:v>Mar</c:v>
                </c:pt>
                <c:pt idx="3">
                  <c:v>Apr</c:v>
                </c:pt>
                <c:pt idx="4">
                  <c:v>May</c:v>
                </c:pt>
                <c:pt idx="5">
                  <c:v>Jun</c:v>
                </c:pt>
              </c:strCache>
            </c:strRef>
          </c:cat>
          <c:val>
            <c:numRef>
              <c:f>Pivort!$Z$35:$Z$41</c:f>
              <c:numCache>
                <c:formatCode>General</c:formatCode>
                <c:ptCount val="6"/>
                <c:pt idx="0">
                  <c:v>497</c:v>
                </c:pt>
                <c:pt idx="1">
                  <c:v>410</c:v>
                </c:pt>
                <c:pt idx="2">
                  <c:v>520</c:v>
                </c:pt>
                <c:pt idx="3">
                  <c:v>457</c:v>
                </c:pt>
                <c:pt idx="4">
                  <c:v>540</c:v>
                </c:pt>
                <c:pt idx="5">
                  <c:v>396</c:v>
                </c:pt>
              </c:numCache>
            </c:numRef>
          </c:val>
          <c:smooth val="0"/>
          <c:extLst>
            <c:ext xmlns:c16="http://schemas.microsoft.com/office/drawing/2014/chart" uri="{C3380CC4-5D6E-409C-BE32-E72D297353CC}">
              <c16:uniqueId val="{00000000-7A52-43FA-9219-110B0B5C1EED}"/>
            </c:ext>
          </c:extLst>
        </c:ser>
        <c:dLbls>
          <c:showLegendKey val="0"/>
          <c:showVal val="0"/>
          <c:showCatName val="0"/>
          <c:showSerName val="0"/>
          <c:showPercent val="0"/>
          <c:showBubbleSize val="0"/>
        </c:dLbls>
        <c:smooth val="0"/>
        <c:axId val="165857536"/>
        <c:axId val="1271365839"/>
      </c:lineChart>
      <c:catAx>
        <c:axId val="16585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65839"/>
        <c:crosses val="autoZero"/>
        <c:auto val="1"/>
        <c:lblAlgn val="ctr"/>
        <c:lblOffset val="100"/>
        <c:noMultiLvlLbl val="0"/>
      </c:catAx>
      <c:valAx>
        <c:axId val="127136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5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Analysis</a:t>
            </a:r>
          </a:p>
        </c:rich>
      </c:tx>
      <c:layout>
        <c:manualLayout>
          <c:xMode val="edge"/>
          <c:yMode val="edge"/>
          <c:x val="0.35461789151356082"/>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Pivort!$B$51</c:f>
              <c:strCache>
                <c:ptCount val="1"/>
                <c:pt idx="0">
                  <c:v>Total</c:v>
                </c:pt>
              </c:strCache>
            </c:strRef>
          </c:tx>
          <c:spPr>
            <a:solidFill>
              <a:schemeClr val="accent1"/>
            </a:solidFill>
            <a:ln>
              <a:noFill/>
            </a:ln>
            <a:effectLst/>
          </c:spPr>
          <c:invertIfNegative val="0"/>
          <c:cat>
            <c:strRef>
              <c:f>Pivort!$A$52:$A$56</c:f>
              <c:strCache>
                <c:ptCount val="4"/>
                <c:pt idx="0">
                  <c:v>$0.00</c:v>
                </c:pt>
                <c:pt idx="1">
                  <c:v>$0.05</c:v>
                </c:pt>
                <c:pt idx="2">
                  <c:v>$0.10</c:v>
                </c:pt>
                <c:pt idx="3">
                  <c:v>$0.15</c:v>
                </c:pt>
              </c:strCache>
            </c:strRef>
          </c:cat>
          <c:val>
            <c:numRef>
              <c:f>Pivort!$B$52:$B$56</c:f>
              <c:numCache>
                <c:formatCode>General</c:formatCode>
                <c:ptCount val="4"/>
                <c:pt idx="0">
                  <c:v>126</c:v>
                </c:pt>
                <c:pt idx="1">
                  <c:v>141</c:v>
                </c:pt>
                <c:pt idx="2">
                  <c:v>125</c:v>
                </c:pt>
                <c:pt idx="3">
                  <c:v>108</c:v>
                </c:pt>
              </c:numCache>
            </c:numRef>
          </c:val>
          <c:extLst>
            <c:ext xmlns:c16="http://schemas.microsoft.com/office/drawing/2014/chart" uri="{C3380CC4-5D6E-409C-BE32-E72D297353CC}">
              <c16:uniqueId val="{00000000-0777-44EB-A685-C0F11F4CE50B}"/>
            </c:ext>
          </c:extLst>
        </c:ser>
        <c:dLbls>
          <c:showLegendKey val="0"/>
          <c:showVal val="0"/>
          <c:showCatName val="0"/>
          <c:showSerName val="0"/>
          <c:showPercent val="0"/>
          <c:showBubbleSize val="0"/>
        </c:dLbls>
        <c:gapWidth val="219"/>
        <c:overlap val="-27"/>
        <c:axId val="165771232"/>
        <c:axId val="1271328879"/>
      </c:barChart>
      <c:catAx>
        <c:axId val="16577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28879"/>
        <c:crosses val="autoZero"/>
        <c:auto val="1"/>
        <c:lblAlgn val="ctr"/>
        <c:lblOffset val="100"/>
        <c:noMultiLvlLbl val="0"/>
      </c:catAx>
      <c:valAx>
        <c:axId val="127132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7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Pivort!$N$51</c:f>
              <c:strCache>
                <c:ptCount val="1"/>
                <c:pt idx="0">
                  <c:v>Total</c:v>
                </c:pt>
              </c:strCache>
            </c:strRef>
          </c:tx>
          <c:spPr>
            <a:solidFill>
              <a:schemeClr val="accent1"/>
            </a:solidFill>
            <a:ln>
              <a:noFill/>
            </a:ln>
            <a:effectLst/>
          </c:spPr>
          <c:invertIfNegative val="0"/>
          <c:cat>
            <c:strRef>
              <c:f>Pivort!$M$52:$M$60</c:f>
              <c:strCache>
                <c:ptCount val="8"/>
                <c:pt idx="0">
                  <c:v>Chair</c:v>
                </c:pt>
                <c:pt idx="1">
                  <c:v>Desk</c:v>
                </c:pt>
                <c:pt idx="2">
                  <c:v>Laptop</c:v>
                </c:pt>
                <c:pt idx="3">
                  <c:v>Mouse</c:v>
                </c:pt>
                <c:pt idx="4">
                  <c:v>Notebook</c:v>
                </c:pt>
                <c:pt idx="5">
                  <c:v>Pen</c:v>
                </c:pt>
                <c:pt idx="6">
                  <c:v>Phone</c:v>
                </c:pt>
                <c:pt idx="7">
                  <c:v>Printer</c:v>
                </c:pt>
              </c:strCache>
            </c:strRef>
          </c:cat>
          <c:val>
            <c:numRef>
              <c:f>Pivort!$N$52:$N$60</c:f>
              <c:numCache>
                <c:formatCode>"$"#,##0.00;[Red]"$"#,##0.00</c:formatCode>
                <c:ptCount val="8"/>
                <c:pt idx="0">
                  <c:v>33449</c:v>
                </c:pt>
                <c:pt idx="1">
                  <c:v>51544</c:v>
                </c:pt>
                <c:pt idx="2">
                  <c:v>360270</c:v>
                </c:pt>
                <c:pt idx="3">
                  <c:v>24862.5</c:v>
                </c:pt>
                <c:pt idx="4">
                  <c:v>16945.5</c:v>
                </c:pt>
                <c:pt idx="5">
                  <c:v>16551.599999999995</c:v>
                </c:pt>
                <c:pt idx="6">
                  <c:v>171737.5</c:v>
                </c:pt>
                <c:pt idx="7">
                  <c:v>76728</c:v>
                </c:pt>
              </c:numCache>
            </c:numRef>
          </c:val>
          <c:extLst>
            <c:ext xmlns:c16="http://schemas.microsoft.com/office/drawing/2014/chart" uri="{C3380CC4-5D6E-409C-BE32-E72D297353CC}">
              <c16:uniqueId val="{00000000-A052-4FFE-A541-2512007003A7}"/>
            </c:ext>
          </c:extLst>
        </c:ser>
        <c:dLbls>
          <c:showLegendKey val="0"/>
          <c:showVal val="0"/>
          <c:showCatName val="0"/>
          <c:showSerName val="0"/>
          <c:showPercent val="0"/>
          <c:showBubbleSize val="0"/>
        </c:dLbls>
        <c:gapWidth val="219"/>
        <c:overlap val="-27"/>
        <c:axId val="165792112"/>
        <c:axId val="1271366319"/>
      </c:barChart>
      <c:catAx>
        <c:axId val="16579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66319"/>
        <c:crosses val="autoZero"/>
        <c:auto val="1"/>
        <c:lblAlgn val="ctr"/>
        <c:lblOffset val="100"/>
        <c:noMultiLvlLbl val="0"/>
      </c:catAx>
      <c:valAx>
        <c:axId val="1271366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9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SalesPerson</a:t>
            </a:r>
            <a:endParaRPr lang="en-US"/>
          </a:p>
        </c:rich>
      </c:tx>
      <c:layout>
        <c:manualLayout>
          <c:xMode val="edge"/>
          <c:yMode val="edge"/>
          <c:x val="0.3013319826249789"/>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Pivort!$Z$51</c:f>
              <c:strCache>
                <c:ptCount val="1"/>
                <c:pt idx="0">
                  <c:v>Total</c:v>
                </c:pt>
              </c:strCache>
            </c:strRef>
          </c:tx>
          <c:spPr>
            <a:solidFill>
              <a:schemeClr val="accent1"/>
            </a:solidFill>
            <a:ln>
              <a:noFill/>
            </a:ln>
            <a:effectLst/>
          </c:spPr>
          <c:invertIfNegative val="0"/>
          <c:cat>
            <c:strRef>
              <c:f>Pivort!$Y$52:$Y$58</c:f>
              <c:strCache>
                <c:ptCount val="6"/>
                <c:pt idx="0">
                  <c:v>Ada</c:v>
                </c:pt>
                <c:pt idx="1">
                  <c:v>Ife</c:v>
                </c:pt>
                <c:pt idx="2">
                  <c:v>Mike</c:v>
                </c:pt>
                <c:pt idx="3">
                  <c:v>Paul</c:v>
                </c:pt>
                <c:pt idx="4">
                  <c:v>Rose</c:v>
                </c:pt>
                <c:pt idx="5">
                  <c:v>Samuel</c:v>
                </c:pt>
              </c:strCache>
            </c:strRef>
          </c:cat>
          <c:val>
            <c:numRef>
              <c:f>Pivort!$Z$52:$Z$58</c:f>
              <c:numCache>
                <c:formatCode>"$"#,##0.00;[Red]"$"#,##0.00</c:formatCode>
                <c:ptCount val="6"/>
                <c:pt idx="0">
                  <c:v>103532.2</c:v>
                </c:pt>
                <c:pt idx="1">
                  <c:v>93299.700000000012</c:v>
                </c:pt>
                <c:pt idx="2">
                  <c:v>130277.55</c:v>
                </c:pt>
                <c:pt idx="3">
                  <c:v>185566.05</c:v>
                </c:pt>
                <c:pt idx="4">
                  <c:v>118841.85</c:v>
                </c:pt>
                <c:pt idx="5">
                  <c:v>120570.75</c:v>
                </c:pt>
              </c:numCache>
            </c:numRef>
          </c:val>
          <c:extLst>
            <c:ext xmlns:c16="http://schemas.microsoft.com/office/drawing/2014/chart" uri="{C3380CC4-5D6E-409C-BE32-E72D297353CC}">
              <c16:uniqueId val="{00000000-6A63-4B13-9479-CE42E1D2F079}"/>
            </c:ext>
          </c:extLst>
        </c:ser>
        <c:dLbls>
          <c:showLegendKey val="0"/>
          <c:showVal val="0"/>
          <c:showCatName val="0"/>
          <c:showSerName val="0"/>
          <c:showPercent val="0"/>
          <c:showBubbleSize val="0"/>
        </c:dLbls>
        <c:gapWidth val="219"/>
        <c:overlap val="-27"/>
        <c:axId val="165699312"/>
        <c:axId val="1271334639"/>
      </c:barChart>
      <c:catAx>
        <c:axId val="16569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34639"/>
        <c:crosses val="autoZero"/>
        <c:auto val="1"/>
        <c:lblAlgn val="ctr"/>
        <c:lblOffset val="100"/>
        <c:noMultiLvlLbl val="0"/>
      </c:catAx>
      <c:valAx>
        <c:axId val="12713346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9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Pivort!$B$68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DA-4B05-A144-D1A33D8CC8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DA-4B05-A144-D1A33D8CC8FA}"/>
              </c:ext>
            </c:extLst>
          </c:dPt>
          <c:cat>
            <c:strRef>
              <c:f>Pivort!$A$69:$A$71</c:f>
              <c:strCache>
                <c:ptCount val="2"/>
                <c:pt idx="0">
                  <c:v>Female</c:v>
                </c:pt>
                <c:pt idx="1">
                  <c:v>Male</c:v>
                </c:pt>
              </c:strCache>
            </c:strRef>
          </c:cat>
          <c:val>
            <c:numRef>
              <c:f>Pivort!$B$69:$B$71</c:f>
              <c:numCache>
                <c:formatCode>General</c:formatCode>
                <c:ptCount val="2"/>
                <c:pt idx="0">
                  <c:v>264</c:v>
                </c:pt>
                <c:pt idx="1">
                  <c:v>236</c:v>
                </c:pt>
              </c:numCache>
            </c:numRef>
          </c:val>
          <c:extLst>
            <c:ext xmlns:c16="http://schemas.microsoft.com/office/drawing/2014/chart" uri="{C3380CC4-5D6E-409C-BE32-E72D297353CC}">
              <c16:uniqueId val="{00000000-A4F6-45FD-8325-6185A93B92E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a:t>
            </a:r>
            <a:r>
              <a:rPr lang="en-US" baseline="0"/>
              <a:t> Analysis</a:t>
            </a:r>
            <a:endParaRPr lang="en-US"/>
          </a:p>
        </c:rich>
      </c:tx>
      <c:layout>
        <c:manualLayout>
          <c:xMode val="edge"/>
          <c:yMode val="edge"/>
          <c:x val="0.34183119393034073"/>
          <c:y val="1.84597246199839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1139917799665"/>
          <c:y val="0.2272337080859545"/>
          <c:w val="0.83052890092918452"/>
          <c:h val="0.50910999761393461"/>
        </c:manualLayout>
      </c:layout>
      <c:barChart>
        <c:barDir val="col"/>
        <c:grouping val="clustered"/>
        <c:varyColors val="0"/>
        <c:ser>
          <c:idx val="0"/>
          <c:order val="0"/>
          <c:tx>
            <c:strRef>
              <c:f>Pivort!$N$17</c:f>
              <c:strCache>
                <c:ptCount val="1"/>
                <c:pt idx="0">
                  <c:v>Total</c:v>
                </c:pt>
              </c:strCache>
            </c:strRef>
          </c:tx>
          <c:spPr>
            <a:solidFill>
              <a:schemeClr val="accent1"/>
            </a:solidFill>
            <a:ln w="19050">
              <a:solidFill>
                <a:schemeClr val="lt1"/>
              </a:solidFill>
            </a:ln>
            <a:effectLst/>
          </c:spPr>
          <c:invertIfNegative val="0"/>
          <c:cat>
            <c:strRef>
              <c:f>Pivort!$M$18:$M$22</c:f>
              <c:strCache>
                <c:ptCount val="4"/>
                <c:pt idx="0">
                  <c:v>Card</c:v>
                </c:pt>
                <c:pt idx="1">
                  <c:v>Cash</c:v>
                </c:pt>
                <c:pt idx="2">
                  <c:v>POS</c:v>
                </c:pt>
                <c:pt idx="3">
                  <c:v>Transfer</c:v>
                </c:pt>
              </c:strCache>
            </c:strRef>
          </c:cat>
          <c:val>
            <c:numRef>
              <c:f>Pivort!$N$18:$N$22</c:f>
              <c:numCache>
                <c:formatCode>General</c:formatCode>
                <c:ptCount val="4"/>
                <c:pt idx="0">
                  <c:v>135</c:v>
                </c:pt>
                <c:pt idx="1">
                  <c:v>132</c:v>
                </c:pt>
                <c:pt idx="2">
                  <c:v>110</c:v>
                </c:pt>
                <c:pt idx="3">
                  <c:v>123</c:v>
                </c:pt>
              </c:numCache>
            </c:numRef>
          </c:val>
          <c:extLst>
            <c:ext xmlns:c16="http://schemas.microsoft.com/office/drawing/2014/chart" uri="{C3380CC4-5D6E-409C-BE32-E72D297353CC}">
              <c16:uniqueId val="{00000000-7FA2-4303-970C-5844B4FFB24E}"/>
            </c:ext>
          </c:extLst>
        </c:ser>
        <c:dLbls>
          <c:showLegendKey val="0"/>
          <c:showVal val="0"/>
          <c:showCatName val="0"/>
          <c:showSerName val="0"/>
          <c:showPercent val="0"/>
          <c:showBubbleSize val="0"/>
        </c:dLbls>
        <c:gapWidth val="150"/>
        <c:axId val="1657705071"/>
        <c:axId val="1271381679"/>
      </c:barChart>
      <c:catAx>
        <c:axId val="1657705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81679"/>
        <c:crosses val="autoZero"/>
        <c:auto val="1"/>
        <c:lblAlgn val="ctr"/>
        <c:lblOffset val="100"/>
        <c:noMultiLvlLbl val="0"/>
      </c:catAx>
      <c:valAx>
        <c:axId val="127138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70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layout>
        <c:manualLayout>
          <c:xMode val="edge"/>
          <c:yMode val="edge"/>
          <c:x val="0.43423470898822469"/>
          <c:y val="8.65481581000506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Pivort!$N$2</c:f>
              <c:strCache>
                <c:ptCount val="1"/>
                <c:pt idx="0">
                  <c:v>Total</c:v>
                </c:pt>
              </c:strCache>
            </c:strRef>
          </c:tx>
          <c:spPr>
            <a:solidFill>
              <a:schemeClr val="accent1"/>
            </a:solidFill>
            <a:ln>
              <a:noFill/>
            </a:ln>
            <a:effectLst/>
          </c:spPr>
          <c:invertIfNegative val="0"/>
          <c:cat>
            <c:strRef>
              <c:f>Pivort!$M$3:$M$6</c:f>
              <c:strCache>
                <c:ptCount val="3"/>
                <c:pt idx="0">
                  <c:v>Electronics</c:v>
                </c:pt>
                <c:pt idx="1">
                  <c:v>Furniture</c:v>
                </c:pt>
                <c:pt idx="2">
                  <c:v>Stationery</c:v>
                </c:pt>
              </c:strCache>
            </c:strRef>
          </c:cat>
          <c:val>
            <c:numRef>
              <c:f>Pivort!$N$3:$N$6</c:f>
              <c:numCache>
                <c:formatCode>General</c:formatCode>
                <c:ptCount val="3"/>
                <c:pt idx="0">
                  <c:v>1542</c:v>
                </c:pt>
                <c:pt idx="1">
                  <c:v>600</c:v>
                </c:pt>
                <c:pt idx="2">
                  <c:v>678</c:v>
                </c:pt>
              </c:numCache>
            </c:numRef>
          </c:val>
          <c:extLst>
            <c:ext xmlns:c16="http://schemas.microsoft.com/office/drawing/2014/chart" uri="{C3380CC4-5D6E-409C-BE32-E72D297353CC}">
              <c16:uniqueId val="{00000000-D0A6-4ABD-B2C0-FE80BA9A79B7}"/>
            </c:ext>
          </c:extLst>
        </c:ser>
        <c:dLbls>
          <c:showLegendKey val="0"/>
          <c:showVal val="0"/>
          <c:showCatName val="0"/>
          <c:showSerName val="0"/>
          <c:showPercent val="0"/>
          <c:showBubbleSize val="0"/>
        </c:dLbls>
        <c:gapWidth val="182"/>
        <c:axId val="1657733375"/>
        <c:axId val="1271378799"/>
      </c:barChart>
      <c:catAx>
        <c:axId val="165773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78799"/>
        <c:crosses val="autoZero"/>
        <c:auto val="1"/>
        <c:lblAlgn val="ctr"/>
        <c:lblOffset val="100"/>
        <c:noMultiLvlLbl val="0"/>
      </c:catAx>
      <c:valAx>
        <c:axId val="1271378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73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Region</a:t>
            </a:r>
          </a:p>
        </c:rich>
      </c:tx>
      <c:layout>
        <c:manualLayout>
          <c:xMode val="edge"/>
          <c:yMode val="edge"/>
          <c:x val="0.38614676957697863"/>
          <c:y val="8.07653524698318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Pivort!$B$2</c:f>
              <c:strCache>
                <c:ptCount val="1"/>
                <c:pt idx="0">
                  <c:v>Total</c:v>
                </c:pt>
              </c:strCache>
            </c:strRef>
          </c:tx>
          <c:spPr>
            <a:solidFill>
              <a:schemeClr val="accent1"/>
            </a:solidFill>
            <a:ln>
              <a:noFill/>
            </a:ln>
            <a:effectLst/>
          </c:spPr>
          <c:invertIfNegative val="0"/>
          <c:cat>
            <c:strRef>
              <c:f>Pivort!$A$3:$A$8</c:f>
              <c:strCache>
                <c:ptCount val="5"/>
                <c:pt idx="0">
                  <c:v>North Central</c:v>
                </c:pt>
                <c:pt idx="1">
                  <c:v>North West</c:v>
                </c:pt>
                <c:pt idx="2">
                  <c:v>South East</c:v>
                </c:pt>
                <c:pt idx="3">
                  <c:v>South South</c:v>
                </c:pt>
                <c:pt idx="4">
                  <c:v>South West</c:v>
                </c:pt>
              </c:strCache>
            </c:strRef>
          </c:cat>
          <c:val>
            <c:numRef>
              <c:f>Pivort!$B$3:$B$8</c:f>
              <c:numCache>
                <c:formatCode>"$"#,##0.00;[Red]"$"#,##0.00</c:formatCode>
                <c:ptCount val="5"/>
                <c:pt idx="0">
                  <c:v>225762.34999999998</c:v>
                </c:pt>
                <c:pt idx="1">
                  <c:v>110635.7</c:v>
                </c:pt>
                <c:pt idx="2">
                  <c:v>136264.25</c:v>
                </c:pt>
                <c:pt idx="3">
                  <c:v>112950.40000000001</c:v>
                </c:pt>
                <c:pt idx="4">
                  <c:v>166475.4</c:v>
                </c:pt>
              </c:numCache>
            </c:numRef>
          </c:val>
          <c:extLst>
            <c:ext xmlns:c16="http://schemas.microsoft.com/office/drawing/2014/chart" uri="{C3380CC4-5D6E-409C-BE32-E72D297353CC}">
              <c16:uniqueId val="{00000000-67F0-4C59-8757-42C2049DF627}"/>
            </c:ext>
          </c:extLst>
        </c:ser>
        <c:dLbls>
          <c:showLegendKey val="0"/>
          <c:showVal val="0"/>
          <c:showCatName val="0"/>
          <c:showSerName val="0"/>
          <c:showPercent val="0"/>
          <c:showBubbleSize val="0"/>
        </c:dLbls>
        <c:gapWidth val="219"/>
        <c:overlap val="-27"/>
        <c:axId val="1657754719"/>
        <c:axId val="1271343759"/>
      </c:barChart>
      <c:catAx>
        <c:axId val="165775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43759"/>
        <c:crosses val="autoZero"/>
        <c:auto val="1"/>
        <c:lblAlgn val="ctr"/>
        <c:lblOffset val="100"/>
        <c:noMultiLvlLbl val="0"/>
      </c:catAx>
      <c:valAx>
        <c:axId val="12713437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75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SalesPerson</a:t>
            </a:r>
            <a:r>
              <a:rPr lang="en-US" baseline="0"/>
              <a:t> Performance</a:t>
            </a:r>
            <a:endParaRPr lang="en-US"/>
          </a:p>
        </c:rich>
      </c:tx>
      <c:layout>
        <c:manualLayout>
          <c:xMode val="edge"/>
          <c:yMode val="edge"/>
          <c:x val="0.36194806717121525"/>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Pivort!$B$17</c:f>
              <c:strCache>
                <c:ptCount val="1"/>
                <c:pt idx="0">
                  <c:v>Total</c:v>
                </c:pt>
              </c:strCache>
            </c:strRef>
          </c:tx>
          <c:spPr>
            <a:solidFill>
              <a:schemeClr val="accent1"/>
            </a:solidFill>
            <a:ln>
              <a:noFill/>
            </a:ln>
            <a:effectLst/>
          </c:spPr>
          <c:invertIfNegative val="0"/>
          <c:cat>
            <c:strRef>
              <c:f>Pivort!$A$18:$A$24</c:f>
              <c:strCache>
                <c:ptCount val="6"/>
                <c:pt idx="0">
                  <c:v>Ada</c:v>
                </c:pt>
                <c:pt idx="1">
                  <c:v>Ife</c:v>
                </c:pt>
                <c:pt idx="2">
                  <c:v>Mike</c:v>
                </c:pt>
                <c:pt idx="3">
                  <c:v>Paul</c:v>
                </c:pt>
                <c:pt idx="4">
                  <c:v>Rose</c:v>
                </c:pt>
                <c:pt idx="5">
                  <c:v>Samuel</c:v>
                </c:pt>
              </c:strCache>
            </c:strRef>
          </c:cat>
          <c:val>
            <c:numRef>
              <c:f>Pivort!$B$18:$B$24</c:f>
              <c:numCache>
                <c:formatCode>General</c:formatCode>
                <c:ptCount val="6"/>
                <c:pt idx="0">
                  <c:v>444</c:v>
                </c:pt>
                <c:pt idx="1">
                  <c:v>410</c:v>
                </c:pt>
                <c:pt idx="2">
                  <c:v>455</c:v>
                </c:pt>
                <c:pt idx="3">
                  <c:v>632</c:v>
                </c:pt>
                <c:pt idx="4">
                  <c:v>412</c:v>
                </c:pt>
                <c:pt idx="5">
                  <c:v>467</c:v>
                </c:pt>
              </c:numCache>
            </c:numRef>
          </c:val>
          <c:extLst>
            <c:ext xmlns:c16="http://schemas.microsoft.com/office/drawing/2014/chart" uri="{C3380CC4-5D6E-409C-BE32-E72D297353CC}">
              <c16:uniqueId val="{00000000-77D8-45E3-A861-5DC4E1644380}"/>
            </c:ext>
          </c:extLst>
        </c:ser>
        <c:dLbls>
          <c:showLegendKey val="0"/>
          <c:showVal val="0"/>
          <c:showCatName val="0"/>
          <c:showSerName val="0"/>
          <c:showPercent val="0"/>
          <c:showBubbleSize val="0"/>
        </c:dLbls>
        <c:gapWidth val="182"/>
        <c:axId val="1657746367"/>
        <c:axId val="1271365359"/>
      </c:barChart>
      <c:catAx>
        <c:axId val="1657746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65359"/>
        <c:crosses val="autoZero"/>
        <c:auto val="1"/>
        <c:lblAlgn val="ctr"/>
        <c:lblOffset val="100"/>
        <c:noMultiLvlLbl val="0"/>
      </c:catAx>
      <c:valAx>
        <c:axId val="1271365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74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Performance</a:t>
            </a:r>
          </a:p>
        </c:rich>
      </c:tx>
      <c:layout>
        <c:manualLayout>
          <c:xMode val="edge"/>
          <c:yMode val="edge"/>
          <c:x val="0.39819857466366931"/>
          <c:y val="6.54102366415813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2150395843928"/>
          <c:y val="0.20150804101310621"/>
          <c:w val="0.80591128467876771"/>
          <c:h val="0.71136681578444405"/>
        </c:manualLayout>
      </c:layout>
      <c:barChart>
        <c:barDir val="bar"/>
        <c:grouping val="clustered"/>
        <c:varyColors val="0"/>
        <c:ser>
          <c:idx val="0"/>
          <c:order val="0"/>
          <c:tx>
            <c:strRef>
              <c:f>Pivort!$Z$2</c:f>
              <c:strCache>
                <c:ptCount val="1"/>
                <c:pt idx="0">
                  <c:v>Total</c:v>
                </c:pt>
              </c:strCache>
            </c:strRef>
          </c:tx>
          <c:spPr>
            <a:solidFill>
              <a:schemeClr val="accent1"/>
            </a:solidFill>
            <a:ln>
              <a:noFill/>
            </a:ln>
            <a:effectLst/>
          </c:spPr>
          <c:invertIfNegative val="0"/>
          <c:cat>
            <c:strRef>
              <c:f>Pivort!$Y$3:$Y$11</c:f>
              <c:strCache>
                <c:ptCount val="8"/>
                <c:pt idx="0">
                  <c:v>Chair</c:v>
                </c:pt>
                <c:pt idx="1">
                  <c:v>Desk</c:v>
                </c:pt>
                <c:pt idx="2">
                  <c:v>Laptop</c:v>
                </c:pt>
                <c:pt idx="3">
                  <c:v>Mouse</c:v>
                </c:pt>
                <c:pt idx="4">
                  <c:v>Notebook</c:v>
                </c:pt>
                <c:pt idx="5">
                  <c:v>Pen</c:v>
                </c:pt>
                <c:pt idx="6">
                  <c:v>Phone</c:v>
                </c:pt>
                <c:pt idx="7">
                  <c:v>Printer</c:v>
                </c:pt>
              </c:strCache>
            </c:strRef>
          </c:cat>
          <c:val>
            <c:numRef>
              <c:f>Pivort!$Z$3:$Z$11</c:f>
              <c:numCache>
                <c:formatCode>General</c:formatCode>
                <c:ptCount val="8"/>
                <c:pt idx="0">
                  <c:v>275</c:v>
                </c:pt>
                <c:pt idx="1">
                  <c:v>325</c:v>
                </c:pt>
                <c:pt idx="2">
                  <c:v>430</c:v>
                </c:pt>
                <c:pt idx="3">
                  <c:v>413</c:v>
                </c:pt>
                <c:pt idx="4">
                  <c:v>331</c:v>
                </c:pt>
                <c:pt idx="5">
                  <c:v>347</c:v>
                </c:pt>
                <c:pt idx="6">
                  <c:v>338</c:v>
                </c:pt>
                <c:pt idx="7">
                  <c:v>361</c:v>
                </c:pt>
              </c:numCache>
            </c:numRef>
          </c:val>
          <c:extLst>
            <c:ext xmlns:c16="http://schemas.microsoft.com/office/drawing/2014/chart" uri="{C3380CC4-5D6E-409C-BE32-E72D297353CC}">
              <c16:uniqueId val="{00000000-A52C-483B-A52A-BF237E5E16A1}"/>
            </c:ext>
          </c:extLst>
        </c:ser>
        <c:dLbls>
          <c:showLegendKey val="0"/>
          <c:showVal val="0"/>
          <c:showCatName val="0"/>
          <c:showSerName val="0"/>
          <c:showPercent val="0"/>
          <c:showBubbleSize val="0"/>
        </c:dLbls>
        <c:gapWidth val="182"/>
        <c:axId val="1657673055"/>
        <c:axId val="1271325999"/>
      </c:barChart>
      <c:catAx>
        <c:axId val="165767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25999"/>
        <c:crosses val="autoZero"/>
        <c:auto val="1"/>
        <c:lblAlgn val="ctr"/>
        <c:lblOffset val="100"/>
        <c:noMultiLvlLbl val="0"/>
      </c:catAx>
      <c:valAx>
        <c:axId val="1271325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67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by Month</a:t>
            </a:r>
            <a:endParaRPr lang="en-US"/>
          </a:p>
        </c:rich>
      </c:tx>
      <c:layout>
        <c:manualLayout>
          <c:xMode val="edge"/>
          <c:yMode val="edge"/>
          <c:x val="0.34863979938248502"/>
          <c:y val="6.22285280463975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Pivort!$Z$34</c:f>
              <c:strCache>
                <c:ptCount val="1"/>
                <c:pt idx="0">
                  <c:v>Total</c:v>
                </c:pt>
              </c:strCache>
            </c:strRef>
          </c:tx>
          <c:spPr>
            <a:ln w="28575" cap="rnd">
              <a:solidFill>
                <a:schemeClr val="accent1"/>
              </a:solidFill>
              <a:round/>
            </a:ln>
            <a:effectLst/>
          </c:spPr>
          <c:marker>
            <c:symbol val="none"/>
          </c:marker>
          <c:cat>
            <c:strRef>
              <c:f>Pivort!$Y$35:$Y$41</c:f>
              <c:strCache>
                <c:ptCount val="6"/>
                <c:pt idx="0">
                  <c:v>Jan</c:v>
                </c:pt>
                <c:pt idx="1">
                  <c:v>Feb</c:v>
                </c:pt>
                <c:pt idx="2">
                  <c:v>Mar</c:v>
                </c:pt>
                <c:pt idx="3">
                  <c:v>Apr</c:v>
                </c:pt>
                <c:pt idx="4">
                  <c:v>May</c:v>
                </c:pt>
                <c:pt idx="5">
                  <c:v>Jun</c:v>
                </c:pt>
              </c:strCache>
            </c:strRef>
          </c:cat>
          <c:val>
            <c:numRef>
              <c:f>Pivort!$Z$35:$Z$41</c:f>
              <c:numCache>
                <c:formatCode>General</c:formatCode>
                <c:ptCount val="6"/>
                <c:pt idx="0">
                  <c:v>497</c:v>
                </c:pt>
                <c:pt idx="1">
                  <c:v>410</c:v>
                </c:pt>
                <c:pt idx="2">
                  <c:v>520</c:v>
                </c:pt>
                <c:pt idx="3">
                  <c:v>457</c:v>
                </c:pt>
                <c:pt idx="4">
                  <c:v>540</c:v>
                </c:pt>
                <c:pt idx="5">
                  <c:v>396</c:v>
                </c:pt>
              </c:numCache>
            </c:numRef>
          </c:val>
          <c:smooth val="0"/>
          <c:extLst>
            <c:ext xmlns:c16="http://schemas.microsoft.com/office/drawing/2014/chart" uri="{C3380CC4-5D6E-409C-BE32-E72D297353CC}">
              <c16:uniqueId val="{00000000-C897-4FCF-8D43-8A82CC339CE8}"/>
            </c:ext>
          </c:extLst>
        </c:ser>
        <c:dLbls>
          <c:showLegendKey val="0"/>
          <c:showVal val="0"/>
          <c:showCatName val="0"/>
          <c:showSerName val="0"/>
          <c:showPercent val="0"/>
          <c:showBubbleSize val="0"/>
        </c:dLbls>
        <c:smooth val="0"/>
        <c:axId val="165857536"/>
        <c:axId val="1271365839"/>
      </c:lineChart>
      <c:catAx>
        <c:axId val="16585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65839"/>
        <c:crosses val="autoZero"/>
        <c:auto val="1"/>
        <c:lblAlgn val="ctr"/>
        <c:lblOffset val="100"/>
        <c:noMultiLvlLbl val="0"/>
      </c:catAx>
      <c:valAx>
        <c:axId val="127136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5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Pivort!$B$68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16-416A-B454-BCDBFACE61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16-416A-B454-BCDBFACE61BE}"/>
              </c:ext>
            </c:extLst>
          </c:dPt>
          <c:cat>
            <c:strRef>
              <c:f>Pivort!$A$69:$A$71</c:f>
              <c:strCache>
                <c:ptCount val="2"/>
                <c:pt idx="0">
                  <c:v>Female</c:v>
                </c:pt>
                <c:pt idx="1">
                  <c:v>Male</c:v>
                </c:pt>
              </c:strCache>
            </c:strRef>
          </c:cat>
          <c:val>
            <c:numRef>
              <c:f>Pivort!$B$69:$B$71</c:f>
              <c:numCache>
                <c:formatCode>General</c:formatCode>
                <c:ptCount val="2"/>
                <c:pt idx="0">
                  <c:v>264</c:v>
                </c:pt>
                <c:pt idx="1">
                  <c:v>236</c:v>
                </c:pt>
              </c:numCache>
            </c:numRef>
          </c:val>
          <c:extLst>
            <c:ext xmlns:c16="http://schemas.microsoft.com/office/drawing/2014/chart" uri="{C3380CC4-5D6E-409C-BE32-E72D297353CC}">
              <c16:uniqueId val="{00000004-AD16-416A-B454-BCDBFACE61B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SALES PERFORMANCE OF BASLARD GADGET STORE.xlsx]Pivort!PivotTable13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SalesPerson</a:t>
            </a:r>
            <a:endParaRPr lang="en-US"/>
          </a:p>
        </c:rich>
      </c:tx>
      <c:layout>
        <c:manualLayout>
          <c:xMode val="edge"/>
          <c:yMode val="edge"/>
          <c:x val="0.3013319826249789"/>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Pivort!$Z$51</c:f>
              <c:strCache>
                <c:ptCount val="1"/>
                <c:pt idx="0">
                  <c:v>Total</c:v>
                </c:pt>
              </c:strCache>
            </c:strRef>
          </c:tx>
          <c:spPr>
            <a:solidFill>
              <a:schemeClr val="accent1"/>
            </a:solidFill>
            <a:ln>
              <a:noFill/>
            </a:ln>
            <a:effectLst/>
          </c:spPr>
          <c:invertIfNegative val="0"/>
          <c:cat>
            <c:strRef>
              <c:f>Pivort!$Y$52:$Y$58</c:f>
              <c:strCache>
                <c:ptCount val="6"/>
                <c:pt idx="0">
                  <c:v>Ada</c:v>
                </c:pt>
                <c:pt idx="1">
                  <c:v>Ife</c:v>
                </c:pt>
                <c:pt idx="2">
                  <c:v>Mike</c:v>
                </c:pt>
                <c:pt idx="3">
                  <c:v>Paul</c:v>
                </c:pt>
                <c:pt idx="4">
                  <c:v>Rose</c:v>
                </c:pt>
                <c:pt idx="5">
                  <c:v>Samuel</c:v>
                </c:pt>
              </c:strCache>
            </c:strRef>
          </c:cat>
          <c:val>
            <c:numRef>
              <c:f>Pivort!$Z$52:$Z$58</c:f>
              <c:numCache>
                <c:formatCode>"$"#,##0.00;[Red]"$"#,##0.00</c:formatCode>
                <c:ptCount val="6"/>
                <c:pt idx="0">
                  <c:v>103532.2</c:v>
                </c:pt>
                <c:pt idx="1">
                  <c:v>93299.700000000012</c:v>
                </c:pt>
                <c:pt idx="2">
                  <c:v>130277.55</c:v>
                </c:pt>
                <c:pt idx="3">
                  <c:v>185566.05</c:v>
                </c:pt>
                <c:pt idx="4">
                  <c:v>118841.85</c:v>
                </c:pt>
                <c:pt idx="5">
                  <c:v>120570.75</c:v>
                </c:pt>
              </c:numCache>
            </c:numRef>
          </c:val>
          <c:extLst>
            <c:ext xmlns:c16="http://schemas.microsoft.com/office/drawing/2014/chart" uri="{C3380CC4-5D6E-409C-BE32-E72D297353CC}">
              <c16:uniqueId val="{00000000-079F-480C-A27D-2C368EB96C19}"/>
            </c:ext>
          </c:extLst>
        </c:ser>
        <c:dLbls>
          <c:showLegendKey val="0"/>
          <c:showVal val="0"/>
          <c:showCatName val="0"/>
          <c:showSerName val="0"/>
          <c:showPercent val="0"/>
          <c:showBubbleSize val="0"/>
        </c:dLbls>
        <c:gapWidth val="219"/>
        <c:overlap val="-27"/>
        <c:axId val="165699312"/>
        <c:axId val="1271334639"/>
      </c:barChart>
      <c:catAx>
        <c:axId val="16569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34639"/>
        <c:crosses val="autoZero"/>
        <c:auto val="1"/>
        <c:lblAlgn val="ctr"/>
        <c:lblOffset val="100"/>
        <c:noMultiLvlLbl val="0"/>
      </c:catAx>
      <c:valAx>
        <c:axId val="12713346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9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3</xdr:col>
      <xdr:colOff>9524</xdr:colOff>
      <xdr:row>0</xdr:row>
      <xdr:rowOff>185738</xdr:rowOff>
    </xdr:from>
    <xdr:to>
      <xdr:col>11</xdr:col>
      <xdr:colOff>19050</xdr:colOff>
      <xdr:row>14</xdr:row>
      <xdr:rowOff>0</xdr:rowOff>
    </xdr:to>
    <xdr:graphicFrame macro="">
      <xdr:nvGraphicFramePr>
        <xdr:cNvPr id="3" name="Chart 2">
          <a:extLst>
            <a:ext uri="{FF2B5EF4-FFF2-40B4-BE49-F238E27FC236}">
              <a16:creationId xmlns:a16="http://schemas.microsoft.com/office/drawing/2014/main" id="{CDE7C4E1-F10F-7881-DAD4-27924C773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9525</xdr:colOff>
      <xdr:row>1</xdr:row>
      <xdr:rowOff>4762</xdr:rowOff>
    </xdr:from>
    <xdr:to>
      <xdr:col>23</xdr:col>
      <xdr:colOff>28575</xdr:colOff>
      <xdr:row>13</xdr:row>
      <xdr:rowOff>180975</xdr:rowOff>
    </xdr:to>
    <xdr:graphicFrame macro="">
      <xdr:nvGraphicFramePr>
        <xdr:cNvPr id="4" name="Chart 3">
          <a:extLst>
            <a:ext uri="{FF2B5EF4-FFF2-40B4-BE49-F238E27FC236}">
              <a16:creationId xmlns:a16="http://schemas.microsoft.com/office/drawing/2014/main" id="{E4975FFE-32D3-64F9-C981-2F2239CCD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19049</xdr:colOff>
      <xdr:row>0</xdr:row>
      <xdr:rowOff>185737</xdr:rowOff>
    </xdr:from>
    <xdr:to>
      <xdr:col>34</xdr:col>
      <xdr:colOff>581025</xdr:colOff>
      <xdr:row>14</xdr:row>
      <xdr:rowOff>0</xdr:rowOff>
    </xdr:to>
    <xdr:graphicFrame macro="">
      <xdr:nvGraphicFramePr>
        <xdr:cNvPr id="5" name="Chart 4">
          <a:extLst>
            <a:ext uri="{FF2B5EF4-FFF2-40B4-BE49-F238E27FC236}">
              <a16:creationId xmlns:a16="http://schemas.microsoft.com/office/drawing/2014/main" id="{658C7E8A-85D3-93CA-66F5-E79961391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600075</xdr:colOff>
      <xdr:row>16</xdr:row>
      <xdr:rowOff>4761</xdr:rowOff>
    </xdr:from>
    <xdr:to>
      <xdr:col>11</xdr:col>
      <xdr:colOff>19050</xdr:colOff>
      <xdr:row>31</xdr:row>
      <xdr:rowOff>9524</xdr:rowOff>
    </xdr:to>
    <xdr:graphicFrame macro="">
      <xdr:nvGraphicFramePr>
        <xdr:cNvPr id="6" name="Chart 5">
          <a:extLst>
            <a:ext uri="{FF2B5EF4-FFF2-40B4-BE49-F238E27FC236}">
              <a16:creationId xmlns:a16="http://schemas.microsoft.com/office/drawing/2014/main" id="{3E999F13-80EA-4F6B-2A42-1430D0AA2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9524</xdr:colOff>
      <xdr:row>16</xdr:row>
      <xdr:rowOff>14287</xdr:rowOff>
    </xdr:from>
    <xdr:to>
      <xdr:col>22</xdr:col>
      <xdr:colOff>590549</xdr:colOff>
      <xdr:row>31</xdr:row>
      <xdr:rowOff>0</xdr:rowOff>
    </xdr:to>
    <xdr:graphicFrame macro="">
      <xdr:nvGraphicFramePr>
        <xdr:cNvPr id="7" name="Chart 6">
          <a:extLst>
            <a:ext uri="{FF2B5EF4-FFF2-40B4-BE49-F238E27FC236}">
              <a16:creationId xmlns:a16="http://schemas.microsoft.com/office/drawing/2014/main" id="{ACB62EC5-F05B-D0B4-BE8B-F39740B3E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9524</xdr:colOff>
      <xdr:row>16</xdr:row>
      <xdr:rowOff>4762</xdr:rowOff>
    </xdr:from>
    <xdr:to>
      <xdr:col>34</xdr:col>
      <xdr:colOff>590549</xdr:colOff>
      <xdr:row>30</xdr:row>
      <xdr:rowOff>80962</xdr:rowOff>
    </xdr:to>
    <xdr:graphicFrame macro="">
      <xdr:nvGraphicFramePr>
        <xdr:cNvPr id="8" name="Chart 7">
          <a:extLst>
            <a:ext uri="{FF2B5EF4-FFF2-40B4-BE49-F238E27FC236}">
              <a16:creationId xmlns:a16="http://schemas.microsoft.com/office/drawing/2014/main" id="{2836538C-397F-E2D7-A6F2-07A84D1AD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33</xdr:row>
      <xdr:rowOff>23812</xdr:rowOff>
    </xdr:from>
    <xdr:to>
      <xdr:col>10</xdr:col>
      <xdr:colOff>590550</xdr:colOff>
      <xdr:row>47</xdr:row>
      <xdr:rowOff>100012</xdr:rowOff>
    </xdr:to>
    <xdr:graphicFrame macro="">
      <xdr:nvGraphicFramePr>
        <xdr:cNvPr id="9" name="Chart 8">
          <a:extLst>
            <a:ext uri="{FF2B5EF4-FFF2-40B4-BE49-F238E27FC236}">
              <a16:creationId xmlns:a16="http://schemas.microsoft.com/office/drawing/2014/main" id="{9D0903C6-C207-24CF-5BB3-61561ED61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9524</xdr:colOff>
      <xdr:row>32</xdr:row>
      <xdr:rowOff>176212</xdr:rowOff>
    </xdr:from>
    <xdr:to>
      <xdr:col>22</xdr:col>
      <xdr:colOff>609599</xdr:colOff>
      <xdr:row>47</xdr:row>
      <xdr:rowOff>61912</xdr:rowOff>
    </xdr:to>
    <xdr:graphicFrame macro="">
      <xdr:nvGraphicFramePr>
        <xdr:cNvPr id="10" name="Chart 9">
          <a:extLst>
            <a:ext uri="{FF2B5EF4-FFF2-40B4-BE49-F238E27FC236}">
              <a16:creationId xmlns:a16="http://schemas.microsoft.com/office/drawing/2014/main" id="{BEA38608-FBE0-2947-8ED3-121D5CFD8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28574</xdr:colOff>
      <xdr:row>33</xdr:row>
      <xdr:rowOff>9525</xdr:rowOff>
    </xdr:from>
    <xdr:to>
      <xdr:col>34</xdr:col>
      <xdr:colOff>609599</xdr:colOff>
      <xdr:row>47</xdr:row>
      <xdr:rowOff>109537</xdr:rowOff>
    </xdr:to>
    <xdr:graphicFrame macro="">
      <xdr:nvGraphicFramePr>
        <xdr:cNvPr id="11" name="Chart 10">
          <a:extLst>
            <a:ext uri="{FF2B5EF4-FFF2-40B4-BE49-F238E27FC236}">
              <a16:creationId xmlns:a16="http://schemas.microsoft.com/office/drawing/2014/main" id="{00DFEB3E-A8FB-1AFD-5984-D8AB24BD3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600075</xdr:colOff>
      <xdr:row>50</xdr:row>
      <xdr:rowOff>14287</xdr:rowOff>
    </xdr:from>
    <xdr:to>
      <xdr:col>10</xdr:col>
      <xdr:colOff>600075</xdr:colOff>
      <xdr:row>64</xdr:row>
      <xdr:rowOff>90487</xdr:rowOff>
    </xdr:to>
    <xdr:graphicFrame macro="">
      <xdr:nvGraphicFramePr>
        <xdr:cNvPr id="12" name="Chart 11">
          <a:extLst>
            <a:ext uri="{FF2B5EF4-FFF2-40B4-BE49-F238E27FC236}">
              <a16:creationId xmlns:a16="http://schemas.microsoft.com/office/drawing/2014/main" id="{DD69118D-5962-F209-888A-2191EA9DB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19049</xdr:colOff>
      <xdr:row>49</xdr:row>
      <xdr:rowOff>185737</xdr:rowOff>
    </xdr:from>
    <xdr:to>
      <xdr:col>22</xdr:col>
      <xdr:colOff>581024</xdr:colOff>
      <xdr:row>64</xdr:row>
      <xdr:rowOff>71437</xdr:rowOff>
    </xdr:to>
    <xdr:graphicFrame macro="">
      <xdr:nvGraphicFramePr>
        <xdr:cNvPr id="13" name="Chart 12">
          <a:extLst>
            <a:ext uri="{FF2B5EF4-FFF2-40B4-BE49-F238E27FC236}">
              <a16:creationId xmlns:a16="http://schemas.microsoft.com/office/drawing/2014/main" id="{6F959C04-9CD2-1C27-ECC8-4B859661D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27</xdr:col>
      <xdr:colOff>9524</xdr:colOff>
      <xdr:row>49</xdr:row>
      <xdr:rowOff>166687</xdr:rowOff>
    </xdr:from>
    <xdr:to>
      <xdr:col>35</xdr:col>
      <xdr:colOff>19049</xdr:colOff>
      <xdr:row>64</xdr:row>
      <xdr:rowOff>52387</xdr:rowOff>
    </xdr:to>
    <xdr:graphicFrame macro="">
      <xdr:nvGraphicFramePr>
        <xdr:cNvPr id="14" name="Chart 13">
          <a:extLst>
            <a:ext uri="{FF2B5EF4-FFF2-40B4-BE49-F238E27FC236}">
              <a16:creationId xmlns:a16="http://schemas.microsoft.com/office/drawing/2014/main" id="{22B69D20-4F7D-1D11-1FB4-51EE5DF18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46816</xdr:colOff>
      <xdr:row>67</xdr:row>
      <xdr:rowOff>32934</xdr:rowOff>
    </xdr:from>
    <xdr:to>
      <xdr:col>10</xdr:col>
      <xdr:colOff>597330</xdr:colOff>
      <xdr:row>81</xdr:row>
      <xdr:rowOff>63931</xdr:rowOff>
    </xdr:to>
    <xdr:graphicFrame macro="">
      <xdr:nvGraphicFramePr>
        <xdr:cNvPr id="2" name="Chart 1">
          <a:extLst>
            <a:ext uri="{FF2B5EF4-FFF2-40B4-BE49-F238E27FC236}">
              <a16:creationId xmlns:a16="http://schemas.microsoft.com/office/drawing/2014/main" id="{5B17FC40-6937-786F-938A-2690D613F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119063</xdr:colOff>
      <xdr:row>0</xdr:row>
      <xdr:rowOff>145255</xdr:rowOff>
    </xdr:from>
    <xdr:to>
      <xdr:col>25</xdr:col>
      <xdr:colOff>416719</xdr:colOff>
      <xdr:row>33</xdr:row>
      <xdr:rowOff>142876</xdr:rowOff>
    </xdr:to>
    <xdr:sp macro="" textlink="">
      <xdr:nvSpPr>
        <xdr:cNvPr id="2" name="Rectangle 1">
          <a:extLst>
            <a:ext uri="{FF2B5EF4-FFF2-40B4-BE49-F238E27FC236}">
              <a16:creationId xmlns:a16="http://schemas.microsoft.com/office/drawing/2014/main" id="{BDBC9D74-CE78-BFF5-47F0-24C7C666CDDE}"/>
            </a:ext>
          </a:extLst>
        </xdr:cNvPr>
        <xdr:cNvSpPr/>
      </xdr:nvSpPr>
      <xdr:spPr>
        <a:xfrm>
          <a:off x="119063" y="145255"/>
          <a:ext cx="15478125" cy="6284121"/>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b="1"/>
            <a:t>SS</a:t>
          </a:r>
        </a:p>
      </xdr:txBody>
    </xdr:sp>
    <xdr:clientData/>
  </xdr:twoCellAnchor>
  <xdr:twoCellAnchor>
    <xdr:from>
      <xdr:col>7</xdr:col>
      <xdr:colOff>547687</xdr:colOff>
      <xdr:row>1</xdr:row>
      <xdr:rowOff>19050</xdr:rowOff>
    </xdr:from>
    <xdr:to>
      <xdr:col>18</xdr:col>
      <xdr:colOff>214311</xdr:colOff>
      <xdr:row>3</xdr:row>
      <xdr:rowOff>9526</xdr:rowOff>
    </xdr:to>
    <xdr:sp macro="" textlink="">
      <xdr:nvSpPr>
        <xdr:cNvPr id="10" name="TextBox 9">
          <a:extLst>
            <a:ext uri="{FF2B5EF4-FFF2-40B4-BE49-F238E27FC236}">
              <a16:creationId xmlns:a16="http://schemas.microsoft.com/office/drawing/2014/main" id="{DC6AFB9C-710A-FA49-A3DE-D50EA2ACD92D}"/>
            </a:ext>
          </a:extLst>
        </xdr:cNvPr>
        <xdr:cNvSpPr txBox="1"/>
      </xdr:nvSpPr>
      <xdr:spPr>
        <a:xfrm>
          <a:off x="4798218" y="209550"/>
          <a:ext cx="6346031" cy="37147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BASLARD GADGET</a:t>
          </a:r>
          <a:r>
            <a:rPr lang="en-US" sz="2400" b="1" baseline="0"/>
            <a:t> STORE SALES PERFORMANCE</a:t>
          </a:r>
          <a:endParaRPr lang="en-US" sz="2400" b="1"/>
        </a:p>
      </xdr:txBody>
    </xdr:sp>
    <xdr:clientData/>
  </xdr:twoCellAnchor>
  <xdr:twoCellAnchor>
    <xdr:from>
      <xdr:col>11</xdr:col>
      <xdr:colOff>583406</xdr:colOff>
      <xdr:row>3</xdr:row>
      <xdr:rowOff>119063</xdr:rowOff>
    </xdr:from>
    <xdr:to>
      <xdr:col>14</xdr:col>
      <xdr:colOff>107156</xdr:colOff>
      <xdr:row>6</xdr:row>
      <xdr:rowOff>23812</xdr:rowOff>
    </xdr:to>
    <xdr:sp macro="" textlink="">
      <xdr:nvSpPr>
        <xdr:cNvPr id="13" name="TextBox 12">
          <a:extLst>
            <a:ext uri="{FF2B5EF4-FFF2-40B4-BE49-F238E27FC236}">
              <a16:creationId xmlns:a16="http://schemas.microsoft.com/office/drawing/2014/main" id="{4BA493B5-5132-4DAA-876A-02E75C7C847E}"/>
            </a:ext>
          </a:extLst>
        </xdr:cNvPr>
        <xdr:cNvSpPr txBox="1"/>
      </xdr:nvSpPr>
      <xdr:spPr>
        <a:xfrm>
          <a:off x="7262812" y="690563"/>
          <a:ext cx="1345407" cy="4762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$752,088.10</a:t>
          </a:r>
        </a:p>
        <a:p>
          <a:pPr algn="ctr"/>
          <a:r>
            <a:rPr lang="en-US" sz="1200"/>
            <a:t>Total</a:t>
          </a:r>
          <a:r>
            <a:rPr lang="en-US" sz="1200" baseline="0"/>
            <a:t> Sales</a:t>
          </a:r>
          <a:endParaRPr lang="en-US" sz="1200"/>
        </a:p>
      </xdr:txBody>
    </xdr:sp>
    <xdr:clientData/>
  </xdr:twoCellAnchor>
  <xdr:twoCellAnchor editAs="oneCell">
    <xdr:from>
      <xdr:col>22</xdr:col>
      <xdr:colOff>595312</xdr:colOff>
      <xdr:row>1</xdr:row>
      <xdr:rowOff>76200</xdr:rowOff>
    </xdr:from>
    <xdr:to>
      <xdr:col>25</xdr:col>
      <xdr:colOff>319086</xdr:colOff>
      <xdr:row>8</xdr:row>
      <xdr:rowOff>178594</xdr:rowOff>
    </xdr:to>
    <mc:AlternateContent xmlns:mc="http://schemas.openxmlformats.org/markup-compatibility/2006" xmlns:a14="http://schemas.microsoft.com/office/drawing/2010/main">
      <mc:Choice Requires="a14">
        <xdr:graphicFrame macro="">
          <xdr:nvGraphicFramePr>
            <xdr:cNvPr id="16" name="Salesperson 1">
              <a:extLst>
                <a:ext uri="{FF2B5EF4-FFF2-40B4-BE49-F238E27FC236}">
                  <a16:creationId xmlns:a16="http://schemas.microsoft.com/office/drawing/2014/main" id="{CAB1C64E-D3D1-4CD3-86F3-01D2F35BE0BF}"/>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3954125" y="266700"/>
              <a:ext cx="1545430" cy="1435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285751</xdr:colOff>
      <xdr:row>1</xdr:row>
      <xdr:rowOff>80962</xdr:rowOff>
    </xdr:from>
    <xdr:to>
      <xdr:col>3</xdr:col>
      <xdr:colOff>238125</xdr:colOff>
      <xdr:row>8</xdr:row>
      <xdr:rowOff>178593</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CB9710C7-21B7-4C26-8C2F-BECEB5FB64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1" y="271462"/>
              <a:ext cx="1774030" cy="1431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347663</xdr:colOff>
      <xdr:row>1</xdr:row>
      <xdr:rowOff>97631</xdr:rowOff>
    </xdr:from>
    <xdr:to>
      <xdr:col>6</xdr:col>
      <xdr:colOff>238124</xdr:colOff>
      <xdr:row>9</xdr:row>
      <xdr:rowOff>11906</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60364C17-65E4-4866-B7CF-E57174C00EA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69319" y="288131"/>
              <a:ext cx="1712118"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166687</xdr:colOff>
      <xdr:row>3</xdr:row>
      <xdr:rowOff>133353</xdr:rowOff>
    </xdr:from>
    <xdr:to>
      <xdr:col>17</xdr:col>
      <xdr:colOff>333374</xdr:colOff>
      <xdr:row>9</xdr:row>
      <xdr:rowOff>59533</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158A435F-122E-1291-BBDA-C33AA906A78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29636" y="704853"/>
              <a:ext cx="2126457" cy="1069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583406</xdr:colOff>
      <xdr:row>6</xdr:row>
      <xdr:rowOff>92867</xdr:rowOff>
    </xdr:from>
    <xdr:to>
      <xdr:col>14</xdr:col>
      <xdr:colOff>95248</xdr:colOff>
      <xdr:row>8</xdr:row>
      <xdr:rowOff>188116</xdr:rowOff>
    </xdr:to>
    <xdr:sp macro="" textlink="">
      <xdr:nvSpPr>
        <xdr:cNvPr id="6" name="TextBox 5">
          <a:extLst>
            <a:ext uri="{FF2B5EF4-FFF2-40B4-BE49-F238E27FC236}">
              <a16:creationId xmlns:a16="http://schemas.microsoft.com/office/drawing/2014/main" id="{60251738-A349-4B3E-9495-5991CA5F7978}"/>
            </a:ext>
          </a:extLst>
        </xdr:cNvPr>
        <xdr:cNvSpPr txBox="1"/>
      </xdr:nvSpPr>
      <xdr:spPr>
        <a:xfrm>
          <a:off x="7262812" y="1235867"/>
          <a:ext cx="1333499" cy="4762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500</a:t>
          </a:r>
        </a:p>
        <a:p>
          <a:pPr algn="ctr"/>
          <a:r>
            <a:rPr lang="en-US" sz="1200"/>
            <a:t>Total Sales</a:t>
          </a:r>
        </a:p>
      </xdr:txBody>
    </xdr:sp>
    <xdr:clientData/>
  </xdr:twoCellAnchor>
  <xdr:twoCellAnchor>
    <xdr:from>
      <xdr:col>17</xdr:col>
      <xdr:colOff>381000</xdr:colOff>
      <xdr:row>3</xdr:row>
      <xdr:rowOff>114299</xdr:rowOff>
    </xdr:from>
    <xdr:to>
      <xdr:col>19</xdr:col>
      <xdr:colOff>583405</xdr:colOff>
      <xdr:row>6</xdr:row>
      <xdr:rowOff>19048</xdr:rowOff>
    </xdr:to>
    <xdr:sp macro="" textlink="">
      <xdr:nvSpPr>
        <xdr:cNvPr id="7" name="TextBox 6">
          <a:extLst>
            <a:ext uri="{FF2B5EF4-FFF2-40B4-BE49-F238E27FC236}">
              <a16:creationId xmlns:a16="http://schemas.microsoft.com/office/drawing/2014/main" id="{C99D9578-5E27-4A98-A63A-D1B0423BC220}"/>
            </a:ext>
          </a:extLst>
        </xdr:cNvPr>
        <xdr:cNvSpPr txBox="1"/>
      </xdr:nvSpPr>
      <xdr:spPr>
        <a:xfrm>
          <a:off x="10703719" y="685799"/>
          <a:ext cx="1416842" cy="4762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2820</a:t>
          </a:r>
        </a:p>
        <a:p>
          <a:pPr algn="ctr"/>
          <a:r>
            <a:rPr lang="en-US" sz="1200"/>
            <a:t>Total</a:t>
          </a:r>
          <a:r>
            <a:rPr lang="en-US" sz="1200" baseline="0"/>
            <a:t> Quantity Sold</a:t>
          </a:r>
          <a:endParaRPr lang="en-US" sz="1200"/>
        </a:p>
      </xdr:txBody>
    </xdr:sp>
    <xdr:clientData/>
  </xdr:twoCellAnchor>
  <xdr:twoCellAnchor>
    <xdr:from>
      <xdr:col>17</xdr:col>
      <xdr:colOff>392906</xdr:colOff>
      <xdr:row>6</xdr:row>
      <xdr:rowOff>123825</xdr:rowOff>
    </xdr:from>
    <xdr:to>
      <xdr:col>19</xdr:col>
      <xdr:colOff>583406</xdr:colOff>
      <xdr:row>9</xdr:row>
      <xdr:rowOff>28574</xdr:rowOff>
    </xdr:to>
    <xdr:sp macro="" textlink="">
      <xdr:nvSpPr>
        <xdr:cNvPr id="8" name="TextBox 7">
          <a:extLst>
            <a:ext uri="{FF2B5EF4-FFF2-40B4-BE49-F238E27FC236}">
              <a16:creationId xmlns:a16="http://schemas.microsoft.com/office/drawing/2014/main" id="{96C3EFCC-72C2-4213-999D-6BABCE4FC271}"/>
            </a:ext>
          </a:extLst>
        </xdr:cNvPr>
        <xdr:cNvSpPr txBox="1"/>
      </xdr:nvSpPr>
      <xdr:spPr>
        <a:xfrm>
          <a:off x="10715625" y="1266825"/>
          <a:ext cx="1404937" cy="4762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48</a:t>
          </a:r>
        </a:p>
        <a:p>
          <a:pPr algn="ctr"/>
          <a:r>
            <a:rPr lang="en-US" sz="1200"/>
            <a:t>Total</a:t>
          </a:r>
          <a:r>
            <a:rPr lang="en-US" sz="1200" baseline="0"/>
            <a:t> Customers</a:t>
          </a:r>
          <a:endParaRPr lang="en-US" sz="1200"/>
        </a:p>
      </xdr:txBody>
    </xdr:sp>
    <xdr:clientData/>
  </xdr:twoCellAnchor>
  <xdr:twoCellAnchor>
    <xdr:from>
      <xdr:col>6</xdr:col>
      <xdr:colOff>440530</xdr:colOff>
      <xdr:row>9</xdr:row>
      <xdr:rowOff>166688</xdr:rowOff>
    </xdr:from>
    <xdr:to>
      <xdr:col>13</xdr:col>
      <xdr:colOff>47625</xdr:colOff>
      <xdr:row>20</xdr:row>
      <xdr:rowOff>178594</xdr:rowOff>
    </xdr:to>
    <xdr:graphicFrame macro="">
      <xdr:nvGraphicFramePr>
        <xdr:cNvPr id="9" name="Chart 8">
          <a:extLst>
            <a:ext uri="{FF2B5EF4-FFF2-40B4-BE49-F238E27FC236}">
              <a16:creationId xmlns:a16="http://schemas.microsoft.com/office/drawing/2014/main" id="{92BEBD3D-487C-4840-9246-5DEB40033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192883</xdr:colOff>
      <xdr:row>9</xdr:row>
      <xdr:rowOff>154783</xdr:rowOff>
    </xdr:from>
    <xdr:to>
      <xdr:col>6</xdr:col>
      <xdr:colOff>333374</xdr:colOff>
      <xdr:row>20</xdr:row>
      <xdr:rowOff>183358</xdr:rowOff>
    </xdr:to>
    <xdr:graphicFrame macro="">
      <xdr:nvGraphicFramePr>
        <xdr:cNvPr id="14" name="Chart 13">
          <a:extLst>
            <a:ext uri="{FF2B5EF4-FFF2-40B4-BE49-F238E27FC236}">
              <a16:creationId xmlns:a16="http://schemas.microsoft.com/office/drawing/2014/main" id="{15E0CE63-9DBC-4207-ABA1-F52E4DD64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35719</xdr:colOff>
      <xdr:row>1</xdr:row>
      <xdr:rowOff>76200</xdr:rowOff>
    </xdr:from>
    <xdr:to>
      <xdr:col>22</xdr:col>
      <xdr:colOff>531019</xdr:colOff>
      <xdr:row>9</xdr:row>
      <xdr:rowOff>9525</xdr:rowOff>
    </xdr:to>
    <mc:AlternateContent xmlns:mc="http://schemas.openxmlformats.org/markup-compatibility/2006" xmlns:a14="http://schemas.microsoft.com/office/drawing/2010/main">
      <mc:Choice Requires="a14">
        <xdr:graphicFrame macro="">
          <xdr:nvGraphicFramePr>
            <xdr:cNvPr id="22" name="PaymentMethod">
              <a:extLst>
                <a:ext uri="{FF2B5EF4-FFF2-40B4-BE49-F238E27FC236}">
                  <a16:creationId xmlns:a16="http://schemas.microsoft.com/office/drawing/2014/main" id="{EB0E4C46-F9EA-0847-297A-E3DB24900B27}"/>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2180094" y="266700"/>
              <a:ext cx="1709738"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188119</xdr:colOff>
      <xdr:row>21</xdr:row>
      <xdr:rowOff>83343</xdr:rowOff>
    </xdr:from>
    <xdr:to>
      <xdr:col>6</xdr:col>
      <xdr:colOff>297656</xdr:colOff>
      <xdr:row>33</xdr:row>
      <xdr:rowOff>59531</xdr:rowOff>
    </xdr:to>
    <xdr:graphicFrame macro="">
      <xdr:nvGraphicFramePr>
        <xdr:cNvPr id="23" name="Chart 22">
          <a:extLst>
            <a:ext uri="{FF2B5EF4-FFF2-40B4-BE49-F238E27FC236}">
              <a16:creationId xmlns:a16="http://schemas.microsoft.com/office/drawing/2014/main" id="{5382522D-5F4C-4CB6-930A-C52F0AC51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428623</xdr:colOff>
      <xdr:row>21</xdr:row>
      <xdr:rowOff>83344</xdr:rowOff>
    </xdr:from>
    <xdr:to>
      <xdr:col>13</xdr:col>
      <xdr:colOff>47625</xdr:colOff>
      <xdr:row>32</xdr:row>
      <xdr:rowOff>178593</xdr:rowOff>
    </xdr:to>
    <xdr:graphicFrame macro="">
      <xdr:nvGraphicFramePr>
        <xdr:cNvPr id="24" name="Chart 23">
          <a:extLst>
            <a:ext uri="{FF2B5EF4-FFF2-40B4-BE49-F238E27FC236}">
              <a16:creationId xmlns:a16="http://schemas.microsoft.com/office/drawing/2014/main" id="{26015096-ECA6-4081-8D9C-6AE730E59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142877</xdr:colOff>
      <xdr:row>9</xdr:row>
      <xdr:rowOff>145255</xdr:rowOff>
    </xdr:from>
    <xdr:to>
      <xdr:col>19</xdr:col>
      <xdr:colOff>309564</xdr:colOff>
      <xdr:row>20</xdr:row>
      <xdr:rowOff>130969</xdr:rowOff>
    </xdr:to>
    <xdr:graphicFrame macro="">
      <xdr:nvGraphicFramePr>
        <xdr:cNvPr id="25" name="Chart 24">
          <a:extLst>
            <a:ext uri="{FF2B5EF4-FFF2-40B4-BE49-F238E27FC236}">
              <a16:creationId xmlns:a16="http://schemas.microsoft.com/office/drawing/2014/main" id="{5FF1EAF5-7B66-4740-B580-93D6EEC71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130970</xdr:colOff>
      <xdr:row>21</xdr:row>
      <xdr:rowOff>83344</xdr:rowOff>
    </xdr:from>
    <xdr:to>
      <xdr:col>19</xdr:col>
      <xdr:colOff>273844</xdr:colOff>
      <xdr:row>32</xdr:row>
      <xdr:rowOff>178594</xdr:rowOff>
    </xdr:to>
    <xdr:graphicFrame macro="">
      <xdr:nvGraphicFramePr>
        <xdr:cNvPr id="27" name="Chart 26">
          <a:extLst>
            <a:ext uri="{FF2B5EF4-FFF2-40B4-BE49-F238E27FC236}">
              <a16:creationId xmlns:a16="http://schemas.microsoft.com/office/drawing/2014/main" id="{22F3F624-61E0-4CED-8EBC-78182C79B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369095</xdr:colOff>
      <xdr:row>9</xdr:row>
      <xdr:rowOff>142872</xdr:rowOff>
    </xdr:from>
    <xdr:to>
      <xdr:col>25</xdr:col>
      <xdr:colOff>309562</xdr:colOff>
      <xdr:row>20</xdr:row>
      <xdr:rowOff>119061</xdr:rowOff>
    </xdr:to>
    <xdr:graphicFrame macro="">
      <xdr:nvGraphicFramePr>
        <xdr:cNvPr id="28" name="Chart 27">
          <a:extLst>
            <a:ext uri="{FF2B5EF4-FFF2-40B4-BE49-F238E27FC236}">
              <a16:creationId xmlns:a16="http://schemas.microsoft.com/office/drawing/2014/main" id="{3900FF18-FF73-47B2-AC42-A59B81FE8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369093</xdr:colOff>
      <xdr:row>21</xdr:row>
      <xdr:rowOff>95249</xdr:rowOff>
    </xdr:from>
    <xdr:to>
      <xdr:col>25</xdr:col>
      <xdr:colOff>309561</xdr:colOff>
      <xdr:row>33</xdr:row>
      <xdr:rowOff>0</xdr:rowOff>
    </xdr:to>
    <xdr:graphicFrame macro="">
      <xdr:nvGraphicFramePr>
        <xdr:cNvPr id="29" name="Chart 28">
          <a:extLst>
            <a:ext uri="{FF2B5EF4-FFF2-40B4-BE49-F238E27FC236}">
              <a16:creationId xmlns:a16="http://schemas.microsoft.com/office/drawing/2014/main" id="{FE3D3EFB-AC16-4FBE-B9FD-3B0413386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585789</xdr:colOff>
      <xdr:row>3</xdr:row>
      <xdr:rowOff>150018</xdr:rowOff>
    </xdr:from>
    <xdr:to>
      <xdr:col>11</xdr:col>
      <xdr:colOff>511969</xdr:colOff>
      <xdr:row>8</xdr:row>
      <xdr:rowOff>166687</xdr:rowOff>
    </xdr:to>
    <mc:AlternateContent xmlns:mc="http://schemas.openxmlformats.org/markup-compatibility/2006" xmlns:a14="http://schemas.microsoft.com/office/drawing/2010/main">
      <mc:Choice Requires="a14">
        <xdr:graphicFrame macro="">
          <xdr:nvGraphicFramePr>
            <xdr:cNvPr id="30" name="Gender">
              <a:extLst>
                <a:ext uri="{FF2B5EF4-FFF2-40B4-BE49-F238E27FC236}">
                  <a16:creationId xmlns:a16="http://schemas.microsoft.com/office/drawing/2014/main" id="{B7694B5C-EB05-5B19-A2D5-E28400EE3E1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443539" y="721518"/>
              <a:ext cx="1938336" cy="969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297656</xdr:colOff>
      <xdr:row>3</xdr:row>
      <xdr:rowOff>145254</xdr:rowOff>
    </xdr:from>
    <xdr:to>
      <xdr:col>8</xdr:col>
      <xdr:colOff>511968</xdr:colOff>
      <xdr:row>6</xdr:row>
      <xdr:rowOff>50003</xdr:rowOff>
    </xdr:to>
    <xdr:sp macro="" textlink="">
      <xdr:nvSpPr>
        <xdr:cNvPr id="34" name="TextBox 33">
          <a:extLst>
            <a:ext uri="{FF2B5EF4-FFF2-40B4-BE49-F238E27FC236}">
              <a16:creationId xmlns:a16="http://schemas.microsoft.com/office/drawing/2014/main" id="{346D2A0C-6094-4E6B-A855-BAD9E9EAF728}"/>
            </a:ext>
          </a:extLst>
        </xdr:cNvPr>
        <xdr:cNvSpPr txBox="1"/>
      </xdr:nvSpPr>
      <xdr:spPr>
        <a:xfrm>
          <a:off x="3940969" y="716754"/>
          <a:ext cx="1428749" cy="4762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6</a:t>
          </a:r>
        </a:p>
        <a:p>
          <a:pPr algn="ctr"/>
          <a:r>
            <a:rPr lang="en-US" sz="1200"/>
            <a:t>Total</a:t>
          </a:r>
          <a:r>
            <a:rPr lang="en-US" sz="1200" baseline="0"/>
            <a:t> SalesPerson</a:t>
          </a:r>
          <a:endParaRPr lang="en-US" sz="1200"/>
        </a:p>
      </xdr:txBody>
    </xdr:sp>
    <xdr:clientData/>
  </xdr:twoCellAnchor>
  <xdr:twoCellAnchor>
    <xdr:from>
      <xdr:col>6</xdr:col>
      <xdr:colOff>309561</xdr:colOff>
      <xdr:row>6</xdr:row>
      <xdr:rowOff>109536</xdr:rowOff>
    </xdr:from>
    <xdr:to>
      <xdr:col>8</xdr:col>
      <xdr:colOff>500062</xdr:colOff>
      <xdr:row>9</xdr:row>
      <xdr:rowOff>14285</xdr:rowOff>
    </xdr:to>
    <xdr:sp macro="" textlink="">
      <xdr:nvSpPr>
        <xdr:cNvPr id="36" name="TextBox 35">
          <a:extLst>
            <a:ext uri="{FF2B5EF4-FFF2-40B4-BE49-F238E27FC236}">
              <a16:creationId xmlns:a16="http://schemas.microsoft.com/office/drawing/2014/main" id="{5B3D1666-F635-42F2-8673-597C63E7E456}"/>
            </a:ext>
          </a:extLst>
        </xdr:cNvPr>
        <xdr:cNvSpPr txBox="1"/>
      </xdr:nvSpPr>
      <xdr:spPr>
        <a:xfrm>
          <a:off x="3952874" y="1252536"/>
          <a:ext cx="1404938" cy="4762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Paul</a:t>
          </a:r>
        </a:p>
        <a:p>
          <a:pPr algn="ctr"/>
          <a:r>
            <a:rPr lang="en-US" sz="1200"/>
            <a:t>Top</a:t>
          </a:r>
          <a:r>
            <a:rPr lang="en-US" sz="1200" baseline="0"/>
            <a:t> SalesPerson</a:t>
          </a:r>
          <a:endParaRPr lang="en-US" sz="12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4.984076504632" createdVersion="8" refreshedVersion="8" minRefreshableVersion="3" recordCount="500" xr:uid="{B7FA136F-F44F-4CAA-9F0C-1C972A66D925}">
  <cacheSource type="worksheet">
    <worksheetSource name="Table1"/>
  </cacheSource>
  <cacheFields count="18">
    <cacheField name="OrderID" numFmtId="0">
      <sharedItems/>
    </cacheField>
    <cacheField name="OrderDate" numFmtId="14">
      <sharedItems count="169">
        <s v="2026-02-13"/>
        <s v="2026-03-31"/>
        <s v="2026-01-07"/>
        <s v="2026-05-01"/>
        <s v="2026-03-11"/>
        <s v="2026-04-26"/>
        <s v="2026-03-24"/>
        <s v="2026-04-06"/>
        <s v="2026-04-21"/>
        <s v="2026-06-06"/>
        <s v="2026-05-27"/>
        <s v="2026-01-10"/>
        <s v="2026-03-19"/>
        <s v="2026-01-24"/>
        <s v="2026-03-15"/>
        <s v="2026-02-19"/>
        <s v="2026-05-07"/>
        <s v="2026-05-04"/>
        <s v="2026-06-28"/>
        <s v="2026-05-10"/>
        <s v="2026-03-12"/>
        <s v="2026-02-12"/>
        <s v="2026-06-10"/>
        <s v="2026-06-01"/>
        <s v="2026-04-27"/>
        <s v="2026-01-28"/>
        <s v="2026-03-20"/>
        <s v="2026-05-30"/>
        <s v="2026-02-03"/>
        <s v="2026-05-12"/>
        <s v="2026-03-17"/>
        <s v="2026-05-11"/>
        <s v="2026-06-19"/>
        <s v="2026-05-09"/>
        <s v="2026-05-06"/>
        <s v="2026-03-26"/>
        <s v="2026-06-12"/>
        <s v="2026-01-04"/>
        <s v="2026-06-07"/>
        <s v="2026-02-07"/>
        <s v="2026-01-23"/>
        <s v="2026-04-18"/>
        <s v="2026-02-08"/>
        <s v="2026-02-06"/>
        <s v="2026-05-24"/>
        <s v="2026-06-26"/>
        <s v="2026-05-15"/>
        <s v="2026-06-15"/>
        <s v="2026-01-12"/>
        <s v="2026-02-15"/>
        <s v="2026-01-19"/>
        <s v="2026-01-31"/>
        <s v="2026-04-23"/>
        <s v="2026-01-27"/>
        <s v="2026-03-05"/>
        <s v="2026-03-04"/>
        <s v="2026-05-25"/>
        <s v="2026-01-29"/>
        <s v="2026-04-07"/>
        <s v="2026-04-16"/>
        <s v="2026-05-03"/>
        <s v="2026-06-13"/>
        <s v="2026-01-22"/>
        <s v="2026-05-05"/>
        <s v="2026-03-09"/>
        <s v="2026-06-02"/>
        <s v="2026-01-21"/>
        <s v="2026-06-16"/>
        <s v="2026-05-29"/>
        <s v="2026-01-09"/>
        <s v="2026-01-03"/>
        <s v="2026-02-25"/>
        <s v="2026-03-06"/>
        <s v="2026-03-22"/>
        <s v="2026-05-02"/>
        <s v="2026-01-16"/>
        <s v="2026-04-24"/>
        <s v="2026-06-29"/>
        <s v="2026-01-11"/>
        <s v="2026-03-02"/>
        <s v="2026-04-10"/>
        <s v="2026-04-30"/>
        <s v="2026-04-20"/>
        <s v="2026-03-03"/>
        <s v="2026-02-17"/>
        <s v="2026-05-18"/>
        <s v="2026-02-23"/>
        <s v="2026-02-28"/>
        <s v="2026-04-12"/>
        <s v="2026-03-28"/>
        <s v="2026-05-14"/>
        <s v="2026-06-17"/>
        <s v="2026-01-15"/>
        <s v="2026-02-21"/>
        <s v="2026-03-10"/>
        <s v="2026-02-10"/>
        <s v="2026-06-18"/>
        <s v="2026-05-17"/>
        <s v="2026-01-25"/>
        <s v="2026-03-13"/>
        <s v="2026-01-30"/>
        <s v="2026-05-13"/>
        <s v="2026-02-05"/>
        <s v="2026-03-07"/>
        <s v="2026-05-31"/>
        <s v="2026-05-22"/>
        <s v="2026-04-29"/>
        <s v="2026-04-11"/>
        <s v="2026-01-13"/>
        <s v="2026-03-29"/>
        <s v="2026-04-19"/>
        <s v="2026-02-22"/>
        <s v="2026-03-23"/>
        <s v="2026-04-15"/>
        <s v="2026-05-21"/>
        <s v="2026-02-09"/>
        <s v="2026-02-27"/>
        <s v="2026-02-24"/>
        <s v="2026-04-28"/>
        <s v="2026-01-06"/>
        <s v="2026-01-05"/>
        <s v="2026-05-16"/>
        <s v="2026-06-22"/>
        <s v="2026-04-25"/>
        <s v="2026-06-08"/>
        <s v="2026-05-28"/>
        <s v="2026-01-17"/>
        <s v="2026-01-18"/>
        <s v="2026-03-25"/>
        <s v="2026-04-03"/>
        <s v="2026-06-05"/>
        <s v="2026-01-01"/>
        <s v="2026-03-08"/>
        <s v="2026-06-21"/>
        <s v="2026-02-20"/>
        <s v="2026-05-26"/>
        <s v="2026-04-08"/>
        <s v="2026-04-14"/>
        <s v="2026-03-27"/>
        <s v="2026-01-14"/>
        <s v="2026-04-13"/>
        <s v="2026-03-16"/>
        <s v="2026-02-11"/>
        <s v="2026-04-09"/>
        <s v="2026-06-03"/>
        <s v="2026-06-23"/>
        <s v="2026-01-26"/>
        <s v="2026-02-26"/>
        <s v="2026-05-19"/>
        <s v="2026-04-05"/>
        <s v="2026-06-20"/>
        <s v="2026-02-14"/>
        <s v="2026-04-02"/>
        <s v="2026-01-02"/>
        <s v="2026-06-11"/>
        <s v="2026-06-04"/>
        <s v="2026-06-24"/>
        <s v="2026-04-04"/>
        <s v="2026-06-27"/>
        <s v="2026-04-17"/>
        <s v="2026-06-25"/>
        <s v="2026-01-08"/>
        <s v="2026-05-20"/>
        <s v="2026-01-20"/>
        <s v="2026-04-22"/>
        <s v="2026-03-18"/>
        <s v="2026-03-21"/>
        <s v="2026-02-18"/>
        <s v="2026-03-30"/>
      </sharedItems>
    </cacheField>
    <cacheField name="Customer" numFmtId="0">
      <sharedItems count="48">
        <s v="Grace D."/>
        <s v="Aisha C."/>
        <s v="Daniel A."/>
        <s v="Joy B."/>
        <s v="Chinedu C."/>
        <s v="Grace B."/>
        <s v="Daniel B."/>
        <s v="Peter C."/>
        <s v="Emmanuel D."/>
        <s v="John D."/>
        <s v="Grace C."/>
        <s v="Mary D."/>
        <s v="Aisha A."/>
        <s v="Fatima D."/>
        <s v="Chinedu D."/>
        <s v="Joy A."/>
        <s v="Esther B."/>
        <s v="Aisha D."/>
        <s v="Chinedu B."/>
        <s v="David B."/>
        <s v="Fatima B."/>
        <s v="David A."/>
        <s v="John B."/>
        <s v="Fatima A."/>
        <s v="Esther A."/>
        <s v="Peter D."/>
        <s v="Mary C."/>
        <s v="David D."/>
        <s v="John A."/>
        <s v="Aisha B."/>
        <s v="Grace A."/>
        <s v="Mary B."/>
        <s v="David C."/>
        <s v="Peter A."/>
        <s v="Chinedu A."/>
        <s v="Esther D."/>
        <s v="Emmanuel C."/>
        <s v="Esther C."/>
        <s v="Fatima C."/>
        <s v="Emmanuel B."/>
        <s v="John C."/>
        <s v="Mary A."/>
        <s v="Daniel D."/>
        <s v="Emmanuel A."/>
        <s v="Joy C."/>
        <s v="Joy D."/>
        <s v="Daniel C."/>
        <s v="Peter B."/>
      </sharedItems>
    </cacheField>
    <cacheField name="Gender" numFmtId="0">
      <sharedItems count="2">
        <s v="Male"/>
        <s v="Female"/>
      </sharedItems>
    </cacheField>
    <cacheField name="Age" numFmtId="0">
      <sharedItems containsSemiMixedTypes="0" containsString="0" containsNumber="1" containsInteger="1" minValue="18" maxValue="60"/>
    </cacheField>
    <cacheField name="City" numFmtId="0">
      <sharedItems count="5">
        <s v="Port Harcourt"/>
        <s v="Abuja"/>
        <s v="Lagos"/>
        <s v="Enugu"/>
        <s v="Kano"/>
      </sharedItems>
    </cacheField>
    <cacheField name="Region" numFmtId="0">
      <sharedItems count="5">
        <s v="South South"/>
        <s v="North Central"/>
        <s v="South West"/>
        <s v="South East"/>
        <s v="North West"/>
      </sharedItems>
    </cacheField>
    <cacheField name="Product" numFmtId="0">
      <sharedItems count="8">
        <s v="Laptop"/>
        <s v="Desk"/>
        <s v="Mouse"/>
        <s v="Pen"/>
        <s v="Notebook"/>
        <s v="Phone"/>
        <s v="Chair"/>
        <s v="Printer"/>
      </sharedItems>
    </cacheField>
    <cacheField name="Category" numFmtId="0">
      <sharedItems count="3">
        <s v="Electronics"/>
        <s v="Furniture"/>
        <s v="Stationery"/>
      </sharedItems>
    </cacheField>
    <cacheField name="Quantity" numFmtId="0">
      <sharedItems containsSemiMixedTypes="0" containsString="0" containsNumber="1" containsInteger="1" minValue="1" maxValue="10" count="10">
        <n v="10"/>
        <n v="7"/>
        <n v="2"/>
        <n v="5"/>
        <n v="6"/>
        <n v="3"/>
        <n v="9"/>
        <n v="1"/>
        <n v="4"/>
        <n v="8"/>
      </sharedItems>
    </cacheField>
    <cacheField name="UnitPrice" numFmtId="165">
      <sharedItems containsSemiMixedTypes="0" containsString="0" containsNumber="1" containsInteger="1" minValue="2" maxValue="850"/>
    </cacheField>
    <cacheField name="Discount" numFmtId="165">
      <sharedItems containsSemiMixedTypes="0" containsString="0" containsNumber="1" minValue="0" maxValue="0.15" count="4">
        <n v="0.05"/>
        <n v="0"/>
        <n v="0.15"/>
        <n v="0.1"/>
      </sharedItems>
    </cacheField>
    <cacheField name="Salesperson" numFmtId="0">
      <sharedItems count="6">
        <s v="Rose"/>
        <s v="Samuel"/>
        <s v="Paul"/>
        <s v="Ada"/>
        <s v="Mike"/>
        <s v="Ife"/>
      </sharedItems>
    </cacheField>
    <cacheField name="PaymentMethod" numFmtId="0">
      <sharedItems count="4">
        <s v="Cash"/>
        <s v="Card"/>
        <s v="POS"/>
        <s v="Transfer"/>
      </sharedItems>
    </cacheField>
    <cacheField name="Month" numFmtId="0">
      <sharedItems count="6">
        <s v="Feb"/>
        <s v="Mar"/>
        <s v="Jan"/>
        <s v="May"/>
        <s v="Apr"/>
        <s v="Jun"/>
      </sharedItems>
    </cacheField>
    <cacheField name="Year" numFmtId="0">
      <sharedItems count="1">
        <s v="2026"/>
      </sharedItems>
    </cacheField>
    <cacheField name="Sales Price" numFmtId="164">
      <sharedItems containsSemiMixedTypes="0" containsString="0" containsNumber="1" containsInteger="1" minValue="52" maxValue="900"/>
    </cacheField>
    <cacheField name="Total Sales Price" numFmtId="165">
      <sharedItems containsSemiMixedTypes="0" containsString="0" containsNumber="1" minValue="44.199999999999996" maxValue="9000" count="218">
        <n v="8550"/>
        <n v="6300"/>
        <n v="1710"/>
        <n v="807.5"/>
        <n v="722.5"/>
        <n v="1071"/>
        <n v="325"/>
        <n v="331.5"/>
        <n v="93.600000000000009"/>
        <n v="233.75"/>
        <n v="195"/>
        <n v="4950"/>
        <n v="55"/>
        <n v="2295"/>
        <n v="153"/>
        <n v="221"/>
        <n v="260"/>
        <n v="1402.5"/>
        <n v="494"/>
        <n v="132.6"/>
        <n v="4500"/>
        <n v="460"/>
        <n v="1700"/>
        <n v="195.5"/>
        <n v="1045"/>
        <n v="680"/>
        <n v="140.25"/>
        <n v="617.5"/>
        <n v="1656"/>
        <n v="313.5"/>
        <n v="7200"/>
        <n v="2475"/>
        <n v="5500"/>
        <n v="247"/>
        <n v="275"/>
        <n v="117"/>
        <n v="156.75"/>
        <n v="176.79999999999998"/>
        <n v="374"/>
        <n v="510"/>
        <n v="1620"/>
        <n v="550"/>
        <n v="165"/>
        <n v="855"/>
        <n v="1564"/>
        <n v="396"/>
        <n v="58.5"/>
        <n v="7650"/>
        <n v="218.5"/>
        <n v="276.25"/>
        <n v="209"/>
        <n v="370.5"/>
        <n v="3960"/>
        <n v="330"/>
        <n v="6840"/>
        <n v="1224"/>
        <n v="234"/>
        <n v="340"/>
        <n v="280.8"/>
        <n v="220"/>
        <n v="4455"/>
        <n v="900"/>
        <n v="1242"/>
        <n v="1840"/>
        <n v="1235"/>
        <n v="289"/>
        <n v="1040"/>
        <n v="110"/>
        <n v="397.8"/>
        <n v="2565"/>
        <n v="175.5"/>
        <n v="5670"/>
        <n v="323"/>
        <n v="265.2"/>
        <n v="1173"/>
        <n v="1759.5"/>
        <n v="261.25"/>
        <n v="2700"/>
        <n v="468"/>
        <n v="455"/>
        <n v="1530"/>
        <n v="988"/>
        <n v="65"/>
        <n v="4860"/>
        <n v="1292"/>
        <n v="49.5"/>
        <n v="88.399999999999991"/>
        <n v="4275"/>
        <n v="3240"/>
        <n v="555.75"/>
        <n v="780"/>
        <n v="156"/>
        <n v="1170"/>
        <n v="585"/>
        <n v="1966.5"/>
        <n v="130"/>
        <n v="867"/>
        <n v="7695"/>
        <n v="1035"/>
        <n v="198"/>
        <n v="1445"/>
        <n v="2185"/>
        <n v="1377"/>
        <n v="3135"/>
        <n v="4050"/>
        <n v="4675"/>
        <n v="1300.5"/>
        <n v="3850"/>
        <n v="1311"/>
        <n v="327.25"/>
        <n v="1300"/>
        <n v="99"/>
        <n v="655.5"/>
        <n v="104"/>
        <n v="3272.5"/>
        <n v="346.5"/>
        <n v="1980"/>
        <n v="782"/>
        <n v="98.8"/>
        <n v="1453.5"/>
        <n v="3420"/>
        <n v="864.5"/>
        <n v="1105"/>
        <n v="1863"/>
        <n v="197.6"/>
        <n v="444.59999999999997"/>
        <n v="1449"/>
        <n v="1100"/>
        <n v="3825"/>
        <n v="828"/>
        <n v="44.199999999999996"/>
        <n v="495"/>
        <n v="3740"/>
        <n v="140.4"/>
        <n v="552.5"/>
        <n v="1130.5"/>
        <n v="144.5"/>
        <n v="918"/>
        <n v="432.25"/>
        <n v="187.20000000000002"/>
        <n v="421.2"/>
        <n v="621"/>
        <n v="386.75"/>
        <n v="522.5"/>
        <n v="185.25"/>
        <n v="351"/>
        <n v="2070"/>
        <n v="280.5"/>
        <n v="3657.5"/>
        <n v="1380"/>
        <n v="1020"/>
        <n v="1156"/>
        <n v="442"/>
        <n v="2430"/>
        <n v="247.5"/>
        <n v="810"/>
        <n v="123.5"/>
        <n v="1368.5"/>
        <n v="445.5"/>
        <n v="2970"/>
        <n v="374.40000000000003"/>
        <n v="395.2"/>
        <n v="874"/>
        <n v="1529.5"/>
        <n v="526.5"/>
        <n v="4590"/>
        <n v="440"/>
        <n v="690"/>
        <n v="161.5"/>
        <n v="170"/>
        <n v="312"/>
        <n v="208"/>
        <n v="8100"/>
        <n v="9000"/>
        <n v="650"/>
        <n v="2090"/>
        <n v="2337.5"/>
        <n v="702"/>
        <n v="327.60000000000002"/>
        <n v="104.5"/>
        <n v="5355"/>
        <n v="1111.5"/>
        <n v="46.75"/>
        <n v="1053"/>
        <n v="459"/>
        <n v="296.39999999999998"/>
        <n v="741"/>
        <n v="52"/>
        <n v="345.8"/>
        <n v="390"/>
        <n v="364"/>
        <n v="1650"/>
        <n v="586.5"/>
        <n v="7290"/>
        <n v="773.5"/>
        <n v="467.5"/>
        <n v="1360"/>
        <n v="46.800000000000004"/>
        <n v="385"/>
        <n v="1567.5"/>
        <n v="520"/>
        <n v="2750"/>
        <n v="1610"/>
        <n v="230"/>
        <n v="52.25"/>
        <n v="612"/>
        <n v="4180"/>
        <n v="977.5"/>
        <n v="420.75"/>
        <n v="1955"/>
        <n v="1870"/>
        <n v="990"/>
        <n v="49.4"/>
        <n v="850"/>
        <n v="4400"/>
        <n v="437"/>
        <n v="207"/>
        <n v="6120"/>
      </sharedItems>
    </cacheField>
  </cacheFields>
  <extLst>
    <ext xmlns:x14="http://schemas.microsoft.com/office/spreadsheetml/2009/9/main" uri="{725AE2AE-9491-48be-B2B4-4EB974FC3084}">
      <x14:pivotCacheDefinition pivotCacheId="2305832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6.897900694443" backgroundQuery="1" createdVersion="8" refreshedVersion="8" minRefreshableVersion="3" recordCount="0" supportSubquery="1" supportAdvancedDrill="1" xr:uid="{E1C75844-C505-4C7D-8761-38D9B1DA5947}">
  <cacheSource type="external" connectionId="1"/>
  <cacheFields count="3">
    <cacheField name="[Table1].[Region].[Region]" caption="Region" numFmtId="0" hierarchy="6" level="1">
      <sharedItems count="5">
        <s v="North Central"/>
        <s v="North West"/>
        <s v="South East"/>
        <s v="South South"/>
        <s v="South West"/>
      </sharedItems>
    </cacheField>
    <cacheField name="[Measures].[Sum of Total Sales Price]" caption="Sum of Total Sales Price" numFmtId="0" hierarchy="20" level="32767"/>
    <cacheField name="[Table1].[Month].[Month]" caption="Month" numFmtId="0" hierarchy="14" level="1">
      <sharedItems containsSemiMixedTypes="0" containsNonDate="0" containsString="0"/>
    </cacheField>
  </cacheFields>
  <cacheHierarchies count="21">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Customer]" caption="Customer" attribute="1" defaultMemberUniqueName="[Table1].[Customer].[All]" allUniqueName="[Table1].[Customer].[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Salesperson]" caption="Salesperson" attribute="1" defaultMemberUniqueName="[Table1].[Salesperson].[All]" allUniqueName="[Table1].[Salesperson].[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Year]" caption="Year" attribute="1" defaultMemberUniqueName="[Table1].[Year].[All]" allUniqueName="[Table1].[Year].[All]" dimensionUniqueName="[Table1]" displayFolder="" count="0" memberValueDatatype="130" unbalanced="0"/>
    <cacheHierarchy uniqueName="[Table1].[Sales Price]" caption="Sales Price" attribute="1" defaultMemberUniqueName="[Table1].[Sales Price].[All]" allUniqueName="[Table1].[Sales Price].[All]" dimensionUniqueName="[Table1]" displayFolder="" count="0" memberValueDatatype="20" unbalanced="0"/>
    <cacheHierarchy uniqueName="[Table1].[Total Sales Price]" caption="Total Sales Price" attribute="1" defaultMemberUniqueName="[Table1].[Total Sales Price].[All]" allUniqueName="[Table1].[Total Sales Pric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Price]" caption="Sum of Total Sales Price"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047938425923" backgroundQuery="1" createdVersion="3" refreshedVersion="8" minRefreshableVersion="3" recordCount="0" supportSubquery="1" supportAdvancedDrill="1" xr:uid="{8D8D67C0-7E7C-47AA-9B89-DD5331C08568}">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Measures]" caption="Measures" attribute="1" keyAttribute="1" defaultMemberUniqueName="[Measures].[__No measures defined]" dimensionUniqueName="[Measures]" displayFolder="" measures="1" count="1" memberValueDatatype="130" unbalanced="0"/>
    <cacheHierarchy uniqueName="[Table1].[OrderID]" caption="OrderID" attribute="1" defaultMemberUniqueName="[Table1].[OrderID].[All]" allUniqueName="[Table1].[OrderID].[All]" dimensionUniqueName="[Table1]" displayFolder="" count="2" memberValueDatatype="130" unbalanced="0"/>
    <cacheHierarchy uniqueName="[Table1].[OrderDate]" caption="OrderDate" attribute="1" defaultMemberUniqueName="[Table1].[OrderDate].[All]" allUniqueName="[Table1].[OrderDate].[All]" dimensionUniqueName="[Table1]" displayFolder="" count="2" memberValueDatatype="130" unbalanced="0"/>
    <cacheHierarchy uniqueName="[Table1].[Customer]" caption="Customer" attribute="1" defaultMemberUniqueName="[Table1].[Customer].[All]" allUniqueName="[Table1].[Customer].[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City]" caption="City" attribute="1" defaultMemberUniqueName="[Table1].[City].[All]" allUniqueName="[Table1].[Cit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Salesperson]" caption="Salesperson" attribute="1" defaultMemberUniqueName="[Table1].[Salesperson].[All]" allUniqueName="[Table1].[Salesperson].[All]" dimensionUniqueName="[Table1]" displayFolder="" count="2" memberValueDatatype="130"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Month]" caption="Month" attribute="1" defaultMemberUniqueName="[Table1].[Month].[All]" allUniqueName="[Table1].[Month].[All]" dimensionUniqueName="[Table1]" displayFolder="" count="2" memberValueDatatype="130" unbalanced="0"/>
    <cacheHierarchy uniqueName="[Table1].[Year]" caption="Year" attribute="1" defaultMemberUniqueName="[Table1].[Year].[All]" allUniqueName="[Table1].[Year].[All]" dimensionUniqueName="[Table1]" displayFolder="" count="2" memberValueDatatype="130" unbalanced="0"/>
    <cacheHierarchy uniqueName="[Table1].[Sales Price]" caption="Sales Price" attribute="1" defaultMemberUniqueName="[Table1].[Sales Price].[All]" allUniqueName="[Table1].[Sales Price].[All]" dimensionUniqueName="[Table1]" displayFolder="" count="2" memberValueDatatype="20" unbalanced="0"/>
    <cacheHierarchy uniqueName="[Table1].[Total Sales Price]" caption="Total Sales Price" attribute="1" defaultMemberUniqueName="[Table1].[Total Sales Price].[All]" allUniqueName="[Table1].[Total Sales Price].[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Price]" caption="Sum of Total Sales Price"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119632148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2"/>
    <x v="0"/>
    <x v="0"/>
    <x v="0"/>
    <n v="35"/>
    <x v="0"/>
    <x v="0"/>
    <x v="0"/>
    <x v="0"/>
    <x v="0"/>
    <n v="850"/>
    <x v="0"/>
    <x v="0"/>
    <x v="0"/>
    <x v="0"/>
    <x v="0"/>
    <n v="900"/>
    <x v="0"/>
  </r>
  <r>
    <s v="ORD1003"/>
    <x v="1"/>
    <x v="1"/>
    <x v="0"/>
    <n v="44"/>
    <x v="1"/>
    <x v="1"/>
    <x v="0"/>
    <x v="0"/>
    <x v="1"/>
    <n v="850"/>
    <x v="1"/>
    <x v="1"/>
    <x v="1"/>
    <x v="1"/>
    <x v="0"/>
    <n v="900"/>
    <x v="1"/>
  </r>
  <r>
    <s v="ORD1004"/>
    <x v="2"/>
    <x v="2"/>
    <x v="1"/>
    <n v="47"/>
    <x v="2"/>
    <x v="2"/>
    <x v="0"/>
    <x v="0"/>
    <x v="0"/>
    <n v="850"/>
    <x v="0"/>
    <x v="2"/>
    <x v="0"/>
    <x v="2"/>
    <x v="0"/>
    <n v="900"/>
    <x v="0"/>
  </r>
  <r>
    <s v="ORD1005"/>
    <x v="3"/>
    <x v="3"/>
    <x v="0"/>
    <n v="47"/>
    <x v="3"/>
    <x v="3"/>
    <x v="0"/>
    <x v="0"/>
    <x v="2"/>
    <n v="850"/>
    <x v="0"/>
    <x v="3"/>
    <x v="1"/>
    <x v="3"/>
    <x v="0"/>
    <n v="900"/>
    <x v="2"/>
  </r>
  <r>
    <s v="ORD1006"/>
    <x v="4"/>
    <x v="4"/>
    <x v="1"/>
    <n v="50"/>
    <x v="2"/>
    <x v="2"/>
    <x v="1"/>
    <x v="1"/>
    <x v="3"/>
    <n v="120"/>
    <x v="0"/>
    <x v="2"/>
    <x v="2"/>
    <x v="1"/>
    <x v="0"/>
    <n v="170"/>
    <x v="3"/>
  </r>
  <r>
    <s v="ORD1007"/>
    <x v="5"/>
    <x v="5"/>
    <x v="0"/>
    <n v="34"/>
    <x v="3"/>
    <x v="3"/>
    <x v="1"/>
    <x v="1"/>
    <x v="3"/>
    <n v="120"/>
    <x v="2"/>
    <x v="0"/>
    <x v="3"/>
    <x v="4"/>
    <x v="0"/>
    <n v="170"/>
    <x v="4"/>
  </r>
  <r>
    <s v="ORD1008"/>
    <x v="6"/>
    <x v="1"/>
    <x v="1"/>
    <n v="42"/>
    <x v="2"/>
    <x v="2"/>
    <x v="1"/>
    <x v="1"/>
    <x v="1"/>
    <n v="120"/>
    <x v="3"/>
    <x v="4"/>
    <x v="0"/>
    <x v="1"/>
    <x v="0"/>
    <n v="170"/>
    <x v="5"/>
  </r>
  <r>
    <s v="ORD1009"/>
    <x v="7"/>
    <x v="6"/>
    <x v="1"/>
    <n v="45"/>
    <x v="2"/>
    <x v="2"/>
    <x v="2"/>
    <x v="0"/>
    <x v="3"/>
    <n v="15"/>
    <x v="1"/>
    <x v="0"/>
    <x v="3"/>
    <x v="4"/>
    <x v="0"/>
    <n v="65"/>
    <x v="6"/>
  </r>
  <r>
    <s v="ORD1010"/>
    <x v="8"/>
    <x v="7"/>
    <x v="1"/>
    <n v="59"/>
    <x v="1"/>
    <x v="1"/>
    <x v="2"/>
    <x v="0"/>
    <x v="4"/>
    <n v="15"/>
    <x v="2"/>
    <x v="3"/>
    <x v="3"/>
    <x v="4"/>
    <x v="0"/>
    <n v="65"/>
    <x v="7"/>
  </r>
  <r>
    <s v="ORD1011"/>
    <x v="9"/>
    <x v="6"/>
    <x v="0"/>
    <n v="40"/>
    <x v="2"/>
    <x v="2"/>
    <x v="3"/>
    <x v="2"/>
    <x v="2"/>
    <n v="2"/>
    <x v="3"/>
    <x v="3"/>
    <x v="1"/>
    <x v="5"/>
    <x v="0"/>
    <n v="52"/>
    <x v="8"/>
  </r>
  <r>
    <s v="ORD1012"/>
    <x v="10"/>
    <x v="8"/>
    <x v="1"/>
    <n v="31"/>
    <x v="2"/>
    <x v="2"/>
    <x v="4"/>
    <x v="2"/>
    <x v="3"/>
    <n v="5"/>
    <x v="2"/>
    <x v="1"/>
    <x v="2"/>
    <x v="3"/>
    <x v="0"/>
    <n v="55"/>
    <x v="9"/>
  </r>
  <r>
    <s v="ORD1013"/>
    <x v="11"/>
    <x v="5"/>
    <x v="1"/>
    <n v="33"/>
    <x v="1"/>
    <x v="1"/>
    <x v="2"/>
    <x v="0"/>
    <x v="5"/>
    <n v="15"/>
    <x v="1"/>
    <x v="4"/>
    <x v="1"/>
    <x v="2"/>
    <x v="0"/>
    <n v="65"/>
    <x v="10"/>
  </r>
  <r>
    <s v="ORD1014"/>
    <x v="12"/>
    <x v="9"/>
    <x v="1"/>
    <n v="47"/>
    <x v="1"/>
    <x v="1"/>
    <x v="5"/>
    <x v="0"/>
    <x v="6"/>
    <n v="500"/>
    <x v="1"/>
    <x v="3"/>
    <x v="0"/>
    <x v="1"/>
    <x v="0"/>
    <n v="550"/>
    <x v="11"/>
  </r>
  <r>
    <s v="ORD1015"/>
    <x v="13"/>
    <x v="10"/>
    <x v="1"/>
    <n v="54"/>
    <x v="3"/>
    <x v="3"/>
    <x v="4"/>
    <x v="2"/>
    <x v="7"/>
    <n v="5"/>
    <x v="1"/>
    <x v="2"/>
    <x v="1"/>
    <x v="2"/>
    <x v="0"/>
    <n v="55"/>
    <x v="12"/>
  </r>
  <r>
    <s v="ORD1016"/>
    <x v="14"/>
    <x v="4"/>
    <x v="1"/>
    <n v="48"/>
    <x v="1"/>
    <x v="1"/>
    <x v="2"/>
    <x v="0"/>
    <x v="4"/>
    <n v="15"/>
    <x v="2"/>
    <x v="0"/>
    <x v="0"/>
    <x v="1"/>
    <x v="0"/>
    <n v="65"/>
    <x v="7"/>
  </r>
  <r>
    <s v="ORD1017"/>
    <x v="15"/>
    <x v="11"/>
    <x v="1"/>
    <n v="35"/>
    <x v="4"/>
    <x v="4"/>
    <x v="0"/>
    <x v="0"/>
    <x v="5"/>
    <n v="850"/>
    <x v="2"/>
    <x v="0"/>
    <x v="3"/>
    <x v="0"/>
    <x v="0"/>
    <n v="900"/>
    <x v="13"/>
  </r>
  <r>
    <s v="ORD1018"/>
    <x v="16"/>
    <x v="12"/>
    <x v="0"/>
    <n v="36"/>
    <x v="0"/>
    <x v="0"/>
    <x v="1"/>
    <x v="1"/>
    <x v="7"/>
    <n v="120"/>
    <x v="3"/>
    <x v="5"/>
    <x v="3"/>
    <x v="3"/>
    <x v="0"/>
    <n v="170"/>
    <x v="14"/>
  </r>
  <r>
    <s v="ORD1019"/>
    <x v="17"/>
    <x v="13"/>
    <x v="0"/>
    <n v="31"/>
    <x v="0"/>
    <x v="0"/>
    <x v="2"/>
    <x v="0"/>
    <x v="8"/>
    <n v="15"/>
    <x v="2"/>
    <x v="2"/>
    <x v="3"/>
    <x v="3"/>
    <x v="0"/>
    <n v="65"/>
    <x v="15"/>
  </r>
  <r>
    <s v="ORD1020"/>
    <x v="18"/>
    <x v="14"/>
    <x v="1"/>
    <n v="31"/>
    <x v="4"/>
    <x v="4"/>
    <x v="3"/>
    <x v="2"/>
    <x v="3"/>
    <n v="2"/>
    <x v="1"/>
    <x v="5"/>
    <x v="2"/>
    <x v="5"/>
    <x v="0"/>
    <n v="52"/>
    <x v="16"/>
  </r>
  <r>
    <s v="ORD1021"/>
    <x v="19"/>
    <x v="15"/>
    <x v="0"/>
    <n v="36"/>
    <x v="3"/>
    <x v="3"/>
    <x v="5"/>
    <x v="0"/>
    <x v="5"/>
    <n v="500"/>
    <x v="2"/>
    <x v="5"/>
    <x v="2"/>
    <x v="3"/>
    <x v="0"/>
    <n v="550"/>
    <x v="17"/>
  </r>
  <r>
    <s v="ORD1022"/>
    <x v="20"/>
    <x v="16"/>
    <x v="0"/>
    <n v="25"/>
    <x v="1"/>
    <x v="1"/>
    <x v="2"/>
    <x v="0"/>
    <x v="4"/>
    <n v="15"/>
    <x v="2"/>
    <x v="0"/>
    <x v="2"/>
    <x v="1"/>
    <x v="0"/>
    <n v="65"/>
    <x v="7"/>
  </r>
  <r>
    <s v="ORD1023"/>
    <x v="21"/>
    <x v="17"/>
    <x v="1"/>
    <n v="40"/>
    <x v="2"/>
    <x v="2"/>
    <x v="6"/>
    <x v="1"/>
    <x v="8"/>
    <n v="80"/>
    <x v="0"/>
    <x v="2"/>
    <x v="1"/>
    <x v="0"/>
    <x v="0"/>
    <n v="130"/>
    <x v="18"/>
  </r>
  <r>
    <s v="ORD1024"/>
    <x v="22"/>
    <x v="6"/>
    <x v="0"/>
    <n v="28"/>
    <x v="2"/>
    <x v="2"/>
    <x v="3"/>
    <x v="2"/>
    <x v="5"/>
    <n v="2"/>
    <x v="2"/>
    <x v="2"/>
    <x v="3"/>
    <x v="5"/>
    <x v="0"/>
    <n v="52"/>
    <x v="19"/>
  </r>
  <r>
    <s v="ORD1025"/>
    <x v="23"/>
    <x v="18"/>
    <x v="1"/>
    <n v="31"/>
    <x v="4"/>
    <x v="4"/>
    <x v="0"/>
    <x v="0"/>
    <x v="3"/>
    <n v="850"/>
    <x v="1"/>
    <x v="2"/>
    <x v="0"/>
    <x v="5"/>
    <x v="0"/>
    <n v="900"/>
    <x v="20"/>
  </r>
  <r>
    <s v="ORD1026"/>
    <x v="24"/>
    <x v="19"/>
    <x v="0"/>
    <n v="54"/>
    <x v="0"/>
    <x v="0"/>
    <x v="7"/>
    <x v="0"/>
    <x v="2"/>
    <n v="180"/>
    <x v="1"/>
    <x v="2"/>
    <x v="0"/>
    <x v="4"/>
    <x v="0"/>
    <n v="230"/>
    <x v="21"/>
  </r>
  <r>
    <s v="ORD1027"/>
    <x v="25"/>
    <x v="7"/>
    <x v="1"/>
    <n v="23"/>
    <x v="3"/>
    <x v="3"/>
    <x v="1"/>
    <x v="1"/>
    <x v="0"/>
    <n v="120"/>
    <x v="1"/>
    <x v="1"/>
    <x v="3"/>
    <x v="2"/>
    <x v="0"/>
    <n v="170"/>
    <x v="22"/>
  </r>
  <r>
    <s v="ORD1028"/>
    <x v="26"/>
    <x v="20"/>
    <x v="1"/>
    <n v="26"/>
    <x v="1"/>
    <x v="1"/>
    <x v="7"/>
    <x v="0"/>
    <x v="7"/>
    <n v="180"/>
    <x v="2"/>
    <x v="3"/>
    <x v="2"/>
    <x v="1"/>
    <x v="0"/>
    <n v="230"/>
    <x v="23"/>
  </r>
  <r>
    <s v="ORD1029"/>
    <x v="27"/>
    <x v="21"/>
    <x v="1"/>
    <n v="45"/>
    <x v="1"/>
    <x v="1"/>
    <x v="5"/>
    <x v="0"/>
    <x v="2"/>
    <n v="500"/>
    <x v="0"/>
    <x v="2"/>
    <x v="0"/>
    <x v="3"/>
    <x v="0"/>
    <n v="550"/>
    <x v="24"/>
  </r>
  <r>
    <s v="ORD1030"/>
    <x v="28"/>
    <x v="3"/>
    <x v="0"/>
    <n v="53"/>
    <x v="2"/>
    <x v="2"/>
    <x v="1"/>
    <x v="1"/>
    <x v="8"/>
    <n v="120"/>
    <x v="1"/>
    <x v="5"/>
    <x v="2"/>
    <x v="0"/>
    <x v="0"/>
    <n v="170"/>
    <x v="25"/>
  </r>
  <r>
    <s v="ORD1031"/>
    <x v="29"/>
    <x v="22"/>
    <x v="0"/>
    <n v="39"/>
    <x v="3"/>
    <x v="3"/>
    <x v="4"/>
    <x v="2"/>
    <x v="5"/>
    <n v="5"/>
    <x v="2"/>
    <x v="2"/>
    <x v="0"/>
    <x v="3"/>
    <x v="0"/>
    <n v="55"/>
    <x v="26"/>
  </r>
  <r>
    <s v="ORD1032"/>
    <x v="30"/>
    <x v="22"/>
    <x v="1"/>
    <n v="28"/>
    <x v="3"/>
    <x v="3"/>
    <x v="2"/>
    <x v="0"/>
    <x v="0"/>
    <n v="15"/>
    <x v="0"/>
    <x v="1"/>
    <x v="3"/>
    <x v="1"/>
    <x v="0"/>
    <n v="65"/>
    <x v="27"/>
  </r>
  <r>
    <s v="ORD1033"/>
    <x v="31"/>
    <x v="23"/>
    <x v="1"/>
    <n v="43"/>
    <x v="0"/>
    <x v="0"/>
    <x v="7"/>
    <x v="0"/>
    <x v="9"/>
    <n v="180"/>
    <x v="3"/>
    <x v="2"/>
    <x v="3"/>
    <x v="3"/>
    <x v="0"/>
    <n v="230"/>
    <x v="28"/>
  </r>
  <r>
    <s v="ORD1034"/>
    <x v="32"/>
    <x v="21"/>
    <x v="0"/>
    <n v="34"/>
    <x v="3"/>
    <x v="3"/>
    <x v="4"/>
    <x v="2"/>
    <x v="4"/>
    <n v="5"/>
    <x v="0"/>
    <x v="2"/>
    <x v="1"/>
    <x v="5"/>
    <x v="0"/>
    <n v="55"/>
    <x v="29"/>
  </r>
  <r>
    <s v="ORD1035"/>
    <x v="33"/>
    <x v="1"/>
    <x v="0"/>
    <n v="42"/>
    <x v="0"/>
    <x v="0"/>
    <x v="0"/>
    <x v="0"/>
    <x v="9"/>
    <n v="850"/>
    <x v="1"/>
    <x v="1"/>
    <x v="1"/>
    <x v="3"/>
    <x v="0"/>
    <n v="900"/>
    <x v="30"/>
  </r>
  <r>
    <s v="ORD1036"/>
    <x v="34"/>
    <x v="20"/>
    <x v="1"/>
    <n v="52"/>
    <x v="1"/>
    <x v="1"/>
    <x v="5"/>
    <x v="0"/>
    <x v="3"/>
    <n v="500"/>
    <x v="3"/>
    <x v="4"/>
    <x v="1"/>
    <x v="3"/>
    <x v="0"/>
    <n v="550"/>
    <x v="31"/>
  </r>
  <r>
    <s v="ORD1037"/>
    <x v="35"/>
    <x v="24"/>
    <x v="1"/>
    <n v="54"/>
    <x v="2"/>
    <x v="2"/>
    <x v="5"/>
    <x v="0"/>
    <x v="0"/>
    <n v="500"/>
    <x v="1"/>
    <x v="2"/>
    <x v="2"/>
    <x v="1"/>
    <x v="0"/>
    <n v="550"/>
    <x v="32"/>
  </r>
  <r>
    <s v="ORD1038"/>
    <x v="4"/>
    <x v="21"/>
    <x v="0"/>
    <n v="44"/>
    <x v="0"/>
    <x v="0"/>
    <x v="2"/>
    <x v="0"/>
    <x v="8"/>
    <n v="15"/>
    <x v="0"/>
    <x v="4"/>
    <x v="3"/>
    <x v="1"/>
    <x v="0"/>
    <n v="65"/>
    <x v="33"/>
  </r>
  <r>
    <s v="ORD1039"/>
    <x v="36"/>
    <x v="25"/>
    <x v="1"/>
    <n v="33"/>
    <x v="0"/>
    <x v="0"/>
    <x v="4"/>
    <x v="2"/>
    <x v="3"/>
    <n v="5"/>
    <x v="1"/>
    <x v="3"/>
    <x v="2"/>
    <x v="5"/>
    <x v="0"/>
    <n v="55"/>
    <x v="34"/>
  </r>
  <r>
    <s v="ORD1040"/>
    <x v="37"/>
    <x v="26"/>
    <x v="0"/>
    <n v="40"/>
    <x v="0"/>
    <x v="0"/>
    <x v="2"/>
    <x v="0"/>
    <x v="2"/>
    <n v="15"/>
    <x v="3"/>
    <x v="2"/>
    <x v="2"/>
    <x v="2"/>
    <x v="0"/>
    <n v="65"/>
    <x v="35"/>
  </r>
  <r>
    <s v="ORD1041"/>
    <x v="38"/>
    <x v="27"/>
    <x v="0"/>
    <n v="40"/>
    <x v="0"/>
    <x v="0"/>
    <x v="4"/>
    <x v="2"/>
    <x v="5"/>
    <n v="5"/>
    <x v="0"/>
    <x v="2"/>
    <x v="1"/>
    <x v="5"/>
    <x v="0"/>
    <n v="55"/>
    <x v="36"/>
  </r>
  <r>
    <s v="ORD1042"/>
    <x v="39"/>
    <x v="28"/>
    <x v="0"/>
    <n v="35"/>
    <x v="1"/>
    <x v="1"/>
    <x v="3"/>
    <x v="2"/>
    <x v="8"/>
    <n v="2"/>
    <x v="2"/>
    <x v="5"/>
    <x v="1"/>
    <x v="0"/>
    <x v="0"/>
    <n v="52"/>
    <x v="37"/>
  </r>
  <r>
    <s v="ORD1043"/>
    <x v="40"/>
    <x v="20"/>
    <x v="1"/>
    <n v="56"/>
    <x v="0"/>
    <x v="0"/>
    <x v="4"/>
    <x v="2"/>
    <x v="9"/>
    <n v="5"/>
    <x v="2"/>
    <x v="0"/>
    <x v="3"/>
    <x v="2"/>
    <x v="0"/>
    <n v="55"/>
    <x v="38"/>
  </r>
  <r>
    <s v="ORD1044"/>
    <x v="41"/>
    <x v="23"/>
    <x v="1"/>
    <n v="44"/>
    <x v="0"/>
    <x v="0"/>
    <x v="1"/>
    <x v="1"/>
    <x v="5"/>
    <n v="120"/>
    <x v="1"/>
    <x v="1"/>
    <x v="1"/>
    <x v="4"/>
    <x v="0"/>
    <n v="170"/>
    <x v="39"/>
  </r>
  <r>
    <s v="ORD1045"/>
    <x v="42"/>
    <x v="29"/>
    <x v="1"/>
    <n v="45"/>
    <x v="3"/>
    <x v="3"/>
    <x v="0"/>
    <x v="0"/>
    <x v="2"/>
    <n v="850"/>
    <x v="3"/>
    <x v="0"/>
    <x v="0"/>
    <x v="0"/>
    <x v="0"/>
    <n v="900"/>
    <x v="40"/>
  </r>
  <r>
    <s v="ORD1046"/>
    <x v="43"/>
    <x v="3"/>
    <x v="1"/>
    <n v="48"/>
    <x v="1"/>
    <x v="1"/>
    <x v="4"/>
    <x v="2"/>
    <x v="0"/>
    <n v="5"/>
    <x v="1"/>
    <x v="4"/>
    <x v="0"/>
    <x v="0"/>
    <x v="0"/>
    <n v="55"/>
    <x v="41"/>
  </r>
  <r>
    <s v="ORD1047"/>
    <x v="2"/>
    <x v="21"/>
    <x v="0"/>
    <n v="56"/>
    <x v="0"/>
    <x v="0"/>
    <x v="5"/>
    <x v="0"/>
    <x v="7"/>
    <n v="500"/>
    <x v="1"/>
    <x v="2"/>
    <x v="2"/>
    <x v="2"/>
    <x v="0"/>
    <n v="550"/>
    <x v="41"/>
  </r>
  <r>
    <s v="ORD1048"/>
    <x v="44"/>
    <x v="24"/>
    <x v="1"/>
    <n v="52"/>
    <x v="2"/>
    <x v="2"/>
    <x v="4"/>
    <x v="2"/>
    <x v="5"/>
    <n v="5"/>
    <x v="1"/>
    <x v="4"/>
    <x v="0"/>
    <x v="3"/>
    <x v="0"/>
    <n v="55"/>
    <x v="42"/>
  </r>
  <r>
    <s v="ORD1049"/>
    <x v="45"/>
    <x v="8"/>
    <x v="0"/>
    <n v="19"/>
    <x v="4"/>
    <x v="4"/>
    <x v="0"/>
    <x v="0"/>
    <x v="7"/>
    <n v="850"/>
    <x v="0"/>
    <x v="0"/>
    <x v="3"/>
    <x v="5"/>
    <x v="0"/>
    <n v="900"/>
    <x v="43"/>
  </r>
  <r>
    <s v="ORD1050"/>
    <x v="46"/>
    <x v="2"/>
    <x v="0"/>
    <n v="32"/>
    <x v="1"/>
    <x v="1"/>
    <x v="5"/>
    <x v="0"/>
    <x v="3"/>
    <n v="500"/>
    <x v="3"/>
    <x v="3"/>
    <x v="0"/>
    <x v="3"/>
    <x v="0"/>
    <n v="550"/>
    <x v="31"/>
  </r>
  <r>
    <s v="ORD1051"/>
    <x v="40"/>
    <x v="28"/>
    <x v="0"/>
    <n v="40"/>
    <x v="3"/>
    <x v="3"/>
    <x v="3"/>
    <x v="2"/>
    <x v="8"/>
    <n v="2"/>
    <x v="2"/>
    <x v="0"/>
    <x v="0"/>
    <x v="2"/>
    <x v="0"/>
    <n v="52"/>
    <x v="37"/>
  </r>
  <r>
    <s v="ORD1052"/>
    <x v="47"/>
    <x v="13"/>
    <x v="0"/>
    <n v="39"/>
    <x v="4"/>
    <x v="4"/>
    <x v="5"/>
    <x v="0"/>
    <x v="2"/>
    <n v="500"/>
    <x v="0"/>
    <x v="1"/>
    <x v="2"/>
    <x v="5"/>
    <x v="0"/>
    <n v="550"/>
    <x v="24"/>
  </r>
  <r>
    <s v="ORD1053"/>
    <x v="48"/>
    <x v="30"/>
    <x v="0"/>
    <n v="53"/>
    <x v="2"/>
    <x v="2"/>
    <x v="4"/>
    <x v="2"/>
    <x v="5"/>
    <n v="5"/>
    <x v="0"/>
    <x v="4"/>
    <x v="0"/>
    <x v="2"/>
    <x v="0"/>
    <n v="55"/>
    <x v="36"/>
  </r>
  <r>
    <s v="ORD1054"/>
    <x v="10"/>
    <x v="31"/>
    <x v="0"/>
    <n v="58"/>
    <x v="3"/>
    <x v="3"/>
    <x v="2"/>
    <x v="0"/>
    <x v="8"/>
    <n v="15"/>
    <x v="0"/>
    <x v="0"/>
    <x v="0"/>
    <x v="3"/>
    <x v="0"/>
    <n v="65"/>
    <x v="33"/>
  </r>
  <r>
    <s v="ORD1055"/>
    <x v="4"/>
    <x v="17"/>
    <x v="1"/>
    <n v="59"/>
    <x v="3"/>
    <x v="3"/>
    <x v="1"/>
    <x v="1"/>
    <x v="5"/>
    <n v="120"/>
    <x v="1"/>
    <x v="3"/>
    <x v="0"/>
    <x v="1"/>
    <x v="0"/>
    <n v="170"/>
    <x v="39"/>
  </r>
  <r>
    <s v="ORD1056"/>
    <x v="49"/>
    <x v="22"/>
    <x v="0"/>
    <n v="57"/>
    <x v="4"/>
    <x v="4"/>
    <x v="7"/>
    <x v="0"/>
    <x v="2"/>
    <n v="180"/>
    <x v="1"/>
    <x v="3"/>
    <x v="0"/>
    <x v="0"/>
    <x v="0"/>
    <n v="230"/>
    <x v="21"/>
  </r>
  <r>
    <s v="ORD1057"/>
    <x v="50"/>
    <x v="32"/>
    <x v="0"/>
    <n v="53"/>
    <x v="0"/>
    <x v="0"/>
    <x v="7"/>
    <x v="0"/>
    <x v="9"/>
    <n v="180"/>
    <x v="2"/>
    <x v="3"/>
    <x v="0"/>
    <x v="2"/>
    <x v="0"/>
    <n v="230"/>
    <x v="44"/>
  </r>
  <r>
    <s v="ORD1058"/>
    <x v="27"/>
    <x v="9"/>
    <x v="0"/>
    <n v="47"/>
    <x v="1"/>
    <x v="1"/>
    <x v="4"/>
    <x v="2"/>
    <x v="9"/>
    <n v="5"/>
    <x v="3"/>
    <x v="3"/>
    <x v="3"/>
    <x v="3"/>
    <x v="0"/>
    <n v="55"/>
    <x v="45"/>
  </r>
  <r>
    <s v="ORD1059"/>
    <x v="51"/>
    <x v="4"/>
    <x v="1"/>
    <n v="39"/>
    <x v="1"/>
    <x v="1"/>
    <x v="2"/>
    <x v="0"/>
    <x v="7"/>
    <n v="15"/>
    <x v="3"/>
    <x v="0"/>
    <x v="0"/>
    <x v="2"/>
    <x v="0"/>
    <n v="65"/>
    <x v="46"/>
  </r>
  <r>
    <s v="ORD1060"/>
    <x v="52"/>
    <x v="17"/>
    <x v="1"/>
    <n v="57"/>
    <x v="0"/>
    <x v="0"/>
    <x v="0"/>
    <x v="0"/>
    <x v="0"/>
    <n v="850"/>
    <x v="2"/>
    <x v="2"/>
    <x v="2"/>
    <x v="4"/>
    <x v="0"/>
    <n v="900"/>
    <x v="47"/>
  </r>
  <r>
    <s v="ORD1061"/>
    <x v="53"/>
    <x v="11"/>
    <x v="0"/>
    <n v="28"/>
    <x v="4"/>
    <x v="4"/>
    <x v="7"/>
    <x v="0"/>
    <x v="7"/>
    <n v="180"/>
    <x v="0"/>
    <x v="2"/>
    <x v="2"/>
    <x v="2"/>
    <x v="0"/>
    <n v="230"/>
    <x v="48"/>
  </r>
  <r>
    <s v="ORD1062"/>
    <x v="54"/>
    <x v="6"/>
    <x v="1"/>
    <n v="59"/>
    <x v="2"/>
    <x v="2"/>
    <x v="2"/>
    <x v="0"/>
    <x v="3"/>
    <n v="15"/>
    <x v="2"/>
    <x v="0"/>
    <x v="3"/>
    <x v="1"/>
    <x v="0"/>
    <n v="65"/>
    <x v="49"/>
  </r>
  <r>
    <s v="ORD1063"/>
    <x v="55"/>
    <x v="29"/>
    <x v="1"/>
    <n v="40"/>
    <x v="2"/>
    <x v="2"/>
    <x v="4"/>
    <x v="2"/>
    <x v="8"/>
    <n v="5"/>
    <x v="0"/>
    <x v="0"/>
    <x v="1"/>
    <x v="1"/>
    <x v="0"/>
    <n v="55"/>
    <x v="50"/>
  </r>
  <r>
    <s v="ORD1064"/>
    <x v="56"/>
    <x v="31"/>
    <x v="1"/>
    <n v="51"/>
    <x v="1"/>
    <x v="1"/>
    <x v="3"/>
    <x v="2"/>
    <x v="3"/>
    <n v="2"/>
    <x v="0"/>
    <x v="5"/>
    <x v="0"/>
    <x v="3"/>
    <x v="0"/>
    <n v="52"/>
    <x v="33"/>
  </r>
  <r>
    <s v="ORD1065"/>
    <x v="34"/>
    <x v="15"/>
    <x v="1"/>
    <n v="57"/>
    <x v="2"/>
    <x v="2"/>
    <x v="1"/>
    <x v="1"/>
    <x v="3"/>
    <n v="120"/>
    <x v="0"/>
    <x v="0"/>
    <x v="0"/>
    <x v="3"/>
    <x v="0"/>
    <n v="170"/>
    <x v="3"/>
  </r>
  <r>
    <s v="ORD1066"/>
    <x v="39"/>
    <x v="1"/>
    <x v="0"/>
    <n v="59"/>
    <x v="2"/>
    <x v="2"/>
    <x v="2"/>
    <x v="0"/>
    <x v="4"/>
    <n v="15"/>
    <x v="0"/>
    <x v="5"/>
    <x v="2"/>
    <x v="0"/>
    <x v="0"/>
    <n v="65"/>
    <x v="51"/>
  </r>
  <r>
    <s v="ORD1067"/>
    <x v="40"/>
    <x v="33"/>
    <x v="1"/>
    <n v="59"/>
    <x v="1"/>
    <x v="1"/>
    <x v="5"/>
    <x v="0"/>
    <x v="9"/>
    <n v="500"/>
    <x v="3"/>
    <x v="0"/>
    <x v="3"/>
    <x v="2"/>
    <x v="0"/>
    <n v="550"/>
    <x v="52"/>
  </r>
  <r>
    <s v="ORD1068"/>
    <x v="57"/>
    <x v="27"/>
    <x v="1"/>
    <n v="55"/>
    <x v="1"/>
    <x v="1"/>
    <x v="4"/>
    <x v="2"/>
    <x v="4"/>
    <n v="5"/>
    <x v="1"/>
    <x v="2"/>
    <x v="0"/>
    <x v="2"/>
    <x v="0"/>
    <n v="55"/>
    <x v="53"/>
  </r>
  <r>
    <s v="ORD1069"/>
    <x v="58"/>
    <x v="8"/>
    <x v="0"/>
    <n v="32"/>
    <x v="1"/>
    <x v="1"/>
    <x v="0"/>
    <x v="0"/>
    <x v="9"/>
    <n v="850"/>
    <x v="0"/>
    <x v="3"/>
    <x v="1"/>
    <x v="4"/>
    <x v="0"/>
    <n v="900"/>
    <x v="54"/>
  </r>
  <r>
    <s v="ORD1070"/>
    <x v="36"/>
    <x v="16"/>
    <x v="0"/>
    <n v="29"/>
    <x v="2"/>
    <x v="2"/>
    <x v="6"/>
    <x v="1"/>
    <x v="8"/>
    <n v="80"/>
    <x v="0"/>
    <x v="5"/>
    <x v="0"/>
    <x v="5"/>
    <x v="0"/>
    <n v="130"/>
    <x v="18"/>
  </r>
  <r>
    <s v="ORD1071"/>
    <x v="59"/>
    <x v="23"/>
    <x v="0"/>
    <n v="28"/>
    <x v="0"/>
    <x v="0"/>
    <x v="4"/>
    <x v="2"/>
    <x v="9"/>
    <n v="5"/>
    <x v="2"/>
    <x v="3"/>
    <x v="1"/>
    <x v="4"/>
    <x v="0"/>
    <n v="55"/>
    <x v="38"/>
  </r>
  <r>
    <s v="ORD1072"/>
    <x v="60"/>
    <x v="12"/>
    <x v="1"/>
    <n v="51"/>
    <x v="2"/>
    <x v="2"/>
    <x v="1"/>
    <x v="1"/>
    <x v="9"/>
    <n v="120"/>
    <x v="3"/>
    <x v="2"/>
    <x v="0"/>
    <x v="3"/>
    <x v="0"/>
    <n v="170"/>
    <x v="55"/>
  </r>
  <r>
    <s v="ORD1073"/>
    <x v="61"/>
    <x v="12"/>
    <x v="1"/>
    <n v="60"/>
    <x v="0"/>
    <x v="0"/>
    <x v="3"/>
    <x v="2"/>
    <x v="3"/>
    <n v="2"/>
    <x v="3"/>
    <x v="2"/>
    <x v="0"/>
    <x v="5"/>
    <x v="0"/>
    <n v="52"/>
    <x v="56"/>
  </r>
  <r>
    <s v="ORD1074"/>
    <x v="60"/>
    <x v="22"/>
    <x v="0"/>
    <n v="25"/>
    <x v="4"/>
    <x v="4"/>
    <x v="1"/>
    <x v="1"/>
    <x v="2"/>
    <n v="120"/>
    <x v="1"/>
    <x v="5"/>
    <x v="0"/>
    <x v="3"/>
    <x v="0"/>
    <n v="170"/>
    <x v="57"/>
  </r>
  <r>
    <s v="ORD1075"/>
    <x v="62"/>
    <x v="1"/>
    <x v="1"/>
    <n v="44"/>
    <x v="2"/>
    <x v="2"/>
    <x v="3"/>
    <x v="2"/>
    <x v="4"/>
    <n v="2"/>
    <x v="3"/>
    <x v="0"/>
    <x v="0"/>
    <x v="2"/>
    <x v="0"/>
    <n v="52"/>
    <x v="58"/>
  </r>
  <r>
    <s v="ORD1076"/>
    <x v="63"/>
    <x v="19"/>
    <x v="0"/>
    <n v="40"/>
    <x v="3"/>
    <x v="3"/>
    <x v="4"/>
    <x v="2"/>
    <x v="8"/>
    <n v="5"/>
    <x v="1"/>
    <x v="0"/>
    <x v="1"/>
    <x v="3"/>
    <x v="0"/>
    <n v="55"/>
    <x v="59"/>
  </r>
  <r>
    <s v="ORD1077"/>
    <x v="38"/>
    <x v="34"/>
    <x v="0"/>
    <n v="36"/>
    <x v="1"/>
    <x v="1"/>
    <x v="3"/>
    <x v="2"/>
    <x v="3"/>
    <n v="2"/>
    <x v="0"/>
    <x v="3"/>
    <x v="0"/>
    <x v="5"/>
    <x v="0"/>
    <n v="52"/>
    <x v="33"/>
  </r>
  <r>
    <s v="ORD1078"/>
    <x v="64"/>
    <x v="29"/>
    <x v="0"/>
    <n v="19"/>
    <x v="2"/>
    <x v="2"/>
    <x v="5"/>
    <x v="0"/>
    <x v="6"/>
    <n v="500"/>
    <x v="3"/>
    <x v="2"/>
    <x v="1"/>
    <x v="1"/>
    <x v="0"/>
    <n v="550"/>
    <x v="60"/>
  </r>
  <r>
    <s v="ORD1079"/>
    <x v="65"/>
    <x v="12"/>
    <x v="1"/>
    <n v="54"/>
    <x v="0"/>
    <x v="0"/>
    <x v="1"/>
    <x v="1"/>
    <x v="9"/>
    <n v="120"/>
    <x v="3"/>
    <x v="3"/>
    <x v="3"/>
    <x v="5"/>
    <x v="0"/>
    <n v="170"/>
    <x v="55"/>
  </r>
  <r>
    <s v="ORD1080"/>
    <x v="5"/>
    <x v="19"/>
    <x v="1"/>
    <n v="18"/>
    <x v="3"/>
    <x v="3"/>
    <x v="0"/>
    <x v="0"/>
    <x v="7"/>
    <n v="850"/>
    <x v="1"/>
    <x v="2"/>
    <x v="2"/>
    <x v="4"/>
    <x v="0"/>
    <n v="900"/>
    <x v="61"/>
  </r>
  <r>
    <s v="ORD1081"/>
    <x v="66"/>
    <x v="13"/>
    <x v="1"/>
    <n v="48"/>
    <x v="0"/>
    <x v="0"/>
    <x v="6"/>
    <x v="1"/>
    <x v="7"/>
    <n v="80"/>
    <x v="3"/>
    <x v="5"/>
    <x v="1"/>
    <x v="2"/>
    <x v="0"/>
    <n v="130"/>
    <x v="35"/>
  </r>
  <r>
    <s v="ORD1082"/>
    <x v="67"/>
    <x v="35"/>
    <x v="0"/>
    <n v="54"/>
    <x v="4"/>
    <x v="4"/>
    <x v="7"/>
    <x v="0"/>
    <x v="4"/>
    <n v="180"/>
    <x v="3"/>
    <x v="4"/>
    <x v="1"/>
    <x v="5"/>
    <x v="0"/>
    <n v="230"/>
    <x v="62"/>
  </r>
  <r>
    <s v="ORD1083"/>
    <x v="68"/>
    <x v="7"/>
    <x v="0"/>
    <n v="56"/>
    <x v="0"/>
    <x v="0"/>
    <x v="7"/>
    <x v="0"/>
    <x v="9"/>
    <n v="180"/>
    <x v="1"/>
    <x v="2"/>
    <x v="1"/>
    <x v="3"/>
    <x v="0"/>
    <n v="230"/>
    <x v="63"/>
  </r>
  <r>
    <s v="ORD1084"/>
    <x v="69"/>
    <x v="29"/>
    <x v="1"/>
    <n v="48"/>
    <x v="3"/>
    <x v="3"/>
    <x v="6"/>
    <x v="1"/>
    <x v="0"/>
    <n v="80"/>
    <x v="0"/>
    <x v="2"/>
    <x v="3"/>
    <x v="2"/>
    <x v="0"/>
    <n v="130"/>
    <x v="64"/>
  </r>
  <r>
    <s v="ORD1085"/>
    <x v="15"/>
    <x v="12"/>
    <x v="0"/>
    <n v="42"/>
    <x v="1"/>
    <x v="1"/>
    <x v="2"/>
    <x v="0"/>
    <x v="3"/>
    <n v="15"/>
    <x v="2"/>
    <x v="5"/>
    <x v="1"/>
    <x v="0"/>
    <x v="0"/>
    <n v="65"/>
    <x v="49"/>
  </r>
  <r>
    <s v="ORD1086"/>
    <x v="44"/>
    <x v="36"/>
    <x v="0"/>
    <n v="28"/>
    <x v="0"/>
    <x v="0"/>
    <x v="1"/>
    <x v="1"/>
    <x v="2"/>
    <n v="120"/>
    <x v="2"/>
    <x v="2"/>
    <x v="0"/>
    <x v="3"/>
    <x v="0"/>
    <n v="170"/>
    <x v="65"/>
  </r>
  <r>
    <s v="ORD1087"/>
    <x v="70"/>
    <x v="37"/>
    <x v="0"/>
    <n v="28"/>
    <x v="2"/>
    <x v="2"/>
    <x v="6"/>
    <x v="1"/>
    <x v="9"/>
    <n v="80"/>
    <x v="1"/>
    <x v="0"/>
    <x v="0"/>
    <x v="2"/>
    <x v="0"/>
    <n v="130"/>
    <x v="66"/>
  </r>
  <r>
    <s v="ORD1088"/>
    <x v="71"/>
    <x v="23"/>
    <x v="1"/>
    <n v="48"/>
    <x v="0"/>
    <x v="0"/>
    <x v="4"/>
    <x v="2"/>
    <x v="2"/>
    <n v="5"/>
    <x v="1"/>
    <x v="4"/>
    <x v="1"/>
    <x v="0"/>
    <x v="0"/>
    <n v="55"/>
    <x v="67"/>
  </r>
  <r>
    <s v="ORD1089"/>
    <x v="12"/>
    <x v="24"/>
    <x v="1"/>
    <n v="24"/>
    <x v="3"/>
    <x v="3"/>
    <x v="3"/>
    <x v="2"/>
    <x v="6"/>
    <n v="2"/>
    <x v="2"/>
    <x v="5"/>
    <x v="0"/>
    <x v="1"/>
    <x v="0"/>
    <n v="52"/>
    <x v="68"/>
  </r>
  <r>
    <s v="ORD1090"/>
    <x v="72"/>
    <x v="32"/>
    <x v="1"/>
    <n v="21"/>
    <x v="1"/>
    <x v="1"/>
    <x v="0"/>
    <x v="0"/>
    <x v="5"/>
    <n v="850"/>
    <x v="0"/>
    <x v="1"/>
    <x v="3"/>
    <x v="1"/>
    <x v="0"/>
    <n v="900"/>
    <x v="69"/>
  </r>
  <r>
    <s v="ORD1091"/>
    <x v="73"/>
    <x v="38"/>
    <x v="1"/>
    <n v="42"/>
    <x v="1"/>
    <x v="1"/>
    <x v="2"/>
    <x v="0"/>
    <x v="5"/>
    <n v="15"/>
    <x v="3"/>
    <x v="5"/>
    <x v="1"/>
    <x v="1"/>
    <x v="0"/>
    <n v="65"/>
    <x v="70"/>
  </r>
  <r>
    <s v="ORD1092"/>
    <x v="74"/>
    <x v="14"/>
    <x v="0"/>
    <n v="26"/>
    <x v="1"/>
    <x v="1"/>
    <x v="0"/>
    <x v="0"/>
    <x v="1"/>
    <n v="850"/>
    <x v="3"/>
    <x v="5"/>
    <x v="2"/>
    <x v="3"/>
    <x v="0"/>
    <n v="900"/>
    <x v="71"/>
  </r>
  <r>
    <s v="ORD1093"/>
    <x v="75"/>
    <x v="39"/>
    <x v="1"/>
    <n v="54"/>
    <x v="0"/>
    <x v="0"/>
    <x v="1"/>
    <x v="1"/>
    <x v="2"/>
    <n v="120"/>
    <x v="0"/>
    <x v="5"/>
    <x v="1"/>
    <x v="2"/>
    <x v="0"/>
    <n v="170"/>
    <x v="72"/>
  </r>
  <r>
    <s v="ORD1094"/>
    <x v="21"/>
    <x v="40"/>
    <x v="1"/>
    <n v="57"/>
    <x v="4"/>
    <x v="4"/>
    <x v="3"/>
    <x v="2"/>
    <x v="4"/>
    <n v="2"/>
    <x v="2"/>
    <x v="2"/>
    <x v="1"/>
    <x v="0"/>
    <x v="0"/>
    <n v="52"/>
    <x v="73"/>
  </r>
  <r>
    <s v="ORD1095"/>
    <x v="76"/>
    <x v="2"/>
    <x v="0"/>
    <n v="34"/>
    <x v="1"/>
    <x v="1"/>
    <x v="7"/>
    <x v="0"/>
    <x v="4"/>
    <n v="180"/>
    <x v="2"/>
    <x v="4"/>
    <x v="2"/>
    <x v="4"/>
    <x v="0"/>
    <n v="230"/>
    <x v="74"/>
  </r>
  <r>
    <s v="ORD1096"/>
    <x v="61"/>
    <x v="12"/>
    <x v="0"/>
    <n v="49"/>
    <x v="2"/>
    <x v="2"/>
    <x v="7"/>
    <x v="0"/>
    <x v="6"/>
    <n v="180"/>
    <x v="2"/>
    <x v="1"/>
    <x v="3"/>
    <x v="5"/>
    <x v="0"/>
    <n v="230"/>
    <x v="75"/>
  </r>
  <r>
    <s v="ORD1097"/>
    <x v="77"/>
    <x v="21"/>
    <x v="0"/>
    <n v="59"/>
    <x v="2"/>
    <x v="2"/>
    <x v="4"/>
    <x v="2"/>
    <x v="3"/>
    <n v="5"/>
    <x v="0"/>
    <x v="3"/>
    <x v="0"/>
    <x v="5"/>
    <x v="0"/>
    <n v="55"/>
    <x v="76"/>
  </r>
  <r>
    <s v="ORD1098"/>
    <x v="78"/>
    <x v="41"/>
    <x v="0"/>
    <n v="39"/>
    <x v="3"/>
    <x v="3"/>
    <x v="0"/>
    <x v="0"/>
    <x v="5"/>
    <n v="850"/>
    <x v="1"/>
    <x v="4"/>
    <x v="3"/>
    <x v="2"/>
    <x v="0"/>
    <n v="900"/>
    <x v="77"/>
  </r>
  <r>
    <s v="ORD1099"/>
    <x v="13"/>
    <x v="42"/>
    <x v="0"/>
    <n v="22"/>
    <x v="0"/>
    <x v="0"/>
    <x v="3"/>
    <x v="2"/>
    <x v="0"/>
    <n v="2"/>
    <x v="3"/>
    <x v="1"/>
    <x v="2"/>
    <x v="2"/>
    <x v="0"/>
    <n v="52"/>
    <x v="78"/>
  </r>
  <r>
    <s v="ORD1100"/>
    <x v="63"/>
    <x v="4"/>
    <x v="1"/>
    <n v="54"/>
    <x v="2"/>
    <x v="2"/>
    <x v="2"/>
    <x v="0"/>
    <x v="1"/>
    <n v="15"/>
    <x v="1"/>
    <x v="1"/>
    <x v="2"/>
    <x v="3"/>
    <x v="0"/>
    <n v="65"/>
    <x v="79"/>
  </r>
  <r>
    <s v="ORD1101"/>
    <x v="79"/>
    <x v="31"/>
    <x v="0"/>
    <n v="43"/>
    <x v="0"/>
    <x v="0"/>
    <x v="1"/>
    <x v="1"/>
    <x v="6"/>
    <n v="120"/>
    <x v="1"/>
    <x v="3"/>
    <x v="1"/>
    <x v="1"/>
    <x v="0"/>
    <n v="170"/>
    <x v="80"/>
  </r>
  <r>
    <s v="ORD1102"/>
    <x v="36"/>
    <x v="27"/>
    <x v="1"/>
    <n v="33"/>
    <x v="2"/>
    <x v="2"/>
    <x v="3"/>
    <x v="2"/>
    <x v="3"/>
    <n v="2"/>
    <x v="3"/>
    <x v="2"/>
    <x v="3"/>
    <x v="5"/>
    <x v="0"/>
    <n v="52"/>
    <x v="56"/>
  </r>
  <r>
    <s v="ORD1103"/>
    <x v="5"/>
    <x v="5"/>
    <x v="0"/>
    <n v="20"/>
    <x v="2"/>
    <x v="2"/>
    <x v="6"/>
    <x v="1"/>
    <x v="9"/>
    <n v="80"/>
    <x v="0"/>
    <x v="2"/>
    <x v="3"/>
    <x v="4"/>
    <x v="0"/>
    <n v="130"/>
    <x v="81"/>
  </r>
  <r>
    <s v="ORD1104"/>
    <x v="80"/>
    <x v="26"/>
    <x v="1"/>
    <n v="41"/>
    <x v="1"/>
    <x v="1"/>
    <x v="2"/>
    <x v="0"/>
    <x v="9"/>
    <n v="15"/>
    <x v="0"/>
    <x v="2"/>
    <x v="1"/>
    <x v="4"/>
    <x v="0"/>
    <n v="65"/>
    <x v="18"/>
  </r>
  <r>
    <s v="ORD1105"/>
    <x v="81"/>
    <x v="35"/>
    <x v="1"/>
    <n v="28"/>
    <x v="1"/>
    <x v="1"/>
    <x v="2"/>
    <x v="0"/>
    <x v="7"/>
    <n v="15"/>
    <x v="1"/>
    <x v="2"/>
    <x v="0"/>
    <x v="4"/>
    <x v="0"/>
    <n v="65"/>
    <x v="82"/>
  </r>
  <r>
    <s v="ORD1106"/>
    <x v="82"/>
    <x v="41"/>
    <x v="1"/>
    <n v="35"/>
    <x v="1"/>
    <x v="1"/>
    <x v="0"/>
    <x v="0"/>
    <x v="4"/>
    <n v="850"/>
    <x v="3"/>
    <x v="0"/>
    <x v="0"/>
    <x v="4"/>
    <x v="0"/>
    <n v="900"/>
    <x v="83"/>
  </r>
  <r>
    <s v="ORD1107"/>
    <x v="79"/>
    <x v="34"/>
    <x v="1"/>
    <n v="24"/>
    <x v="0"/>
    <x v="0"/>
    <x v="7"/>
    <x v="0"/>
    <x v="7"/>
    <n v="180"/>
    <x v="2"/>
    <x v="2"/>
    <x v="0"/>
    <x v="1"/>
    <x v="0"/>
    <n v="230"/>
    <x v="23"/>
  </r>
  <r>
    <s v="ORD1108"/>
    <x v="83"/>
    <x v="33"/>
    <x v="1"/>
    <n v="45"/>
    <x v="4"/>
    <x v="4"/>
    <x v="1"/>
    <x v="1"/>
    <x v="9"/>
    <n v="120"/>
    <x v="0"/>
    <x v="1"/>
    <x v="1"/>
    <x v="1"/>
    <x v="0"/>
    <n v="170"/>
    <x v="84"/>
  </r>
  <r>
    <s v="ORD1109"/>
    <x v="84"/>
    <x v="38"/>
    <x v="1"/>
    <n v="23"/>
    <x v="2"/>
    <x v="2"/>
    <x v="4"/>
    <x v="2"/>
    <x v="7"/>
    <n v="5"/>
    <x v="3"/>
    <x v="1"/>
    <x v="2"/>
    <x v="0"/>
    <x v="0"/>
    <n v="55"/>
    <x v="85"/>
  </r>
  <r>
    <s v="ORD1110"/>
    <x v="85"/>
    <x v="25"/>
    <x v="0"/>
    <n v="33"/>
    <x v="4"/>
    <x v="4"/>
    <x v="2"/>
    <x v="0"/>
    <x v="7"/>
    <n v="15"/>
    <x v="1"/>
    <x v="2"/>
    <x v="1"/>
    <x v="3"/>
    <x v="0"/>
    <n v="65"/>
    <x v="82"/>
  </r>
  <r>
    <s v="ORD1111"/>
    <x v="86"/>
    <x v="43"/>
    <x v="0"/>
    <n v="33"/>
    <x v="1"/>
    <x v="1"/>
    <x v="0"/>
    <x v="0"/>
    <x v="5"/>
    <n v="850"/>
    <x v="2"/>
    <x v="5"/>
    <x v="2"/>
    <x v="0"/>
    <x v="0"/>
    <n v="900"/>
    <x v="13"/>
  </r>
  <r>
    <s v="ORD1112"/>
    <x v="87"/>
    <x v="20"/>
    <x v="1"/>
    <n v="53"/>
    <x v="1"/>
    <x v="1"/>
    <x v="2"/>
    <x v="0"/>
    <x v="4"/>
    <n v="15"/>
    <x v="2"/>
    <x v="4"/>
    <x v="2"/>
    <x v="0"/>
    <x v="0"/>
    <n v="65"/>
    <x v="7"/>
  </r>
  <r>
    <s v="ORD1113"/>
    <x v="25"/>
    <x v="25"/>
    <x v="1"/>
    <n v="55"/>
    <x v="0"/>
    <x v="0"/>
    <x v="3"/>
    <x v="2"/>
    <x v="2"/>
    <n v="2"/>
    <x v="2"/>
    <x v="1"/>
    <x v="2"/>
    <x v="2"/>
    <x v="0"/>
    <n v="52"/>
    <x v="86"/>
  </r>
  <r>
    <s v="ORD1114"/>
    <x v="65"/>
    <x v="44"/>
    <x v="1"/>
    <n v="47"/>
    <x v="1"/>
    <x v="1"/>
    <x v="0"/>
    <x v="0"/>
    <x v="3"/>
    <n v="850"/>
    <x v="0"/>
    <x v="2"/>
    <x v="2"/>
    <x v="5"/>
    <x v="0"/>
    <n v="900"/>
    <x v="87"/>
  </r>
  <r>
    <s v="ORD1115"/>
    <x v="32"/>
    <x v="30"/>
    <x v="0"/>
    <n v="60"/>
    <x v="0"/>
    <x v="0"/>
    <x v="0"/>
    <x v="0"/>
    <x v="8"/>
    <n v="850"/>
    <x v="3"/>
    <x v="3"/>
    <x v="1"/>
    <x v="5"/>
    <x v="0"/>
    <n v="900"/>
    <x v="88"/>
  </r>
  <r>
    <s v="ORD1116"/>
    <x v="79"/>
    <x v="24"/>
    <x v="1"/>
    <n v="50"/>
    <x v="4"/>
    <x v="4"/>
    <x v="2"/>
    <x v="0"/>
    <x v="6"/>
    <n v="15"/>
    <x v="0"/>
    <x v="1"/>
    <x v="3"/>
    <x v="1"/>
    <x v="0"/>
    <n v="65"/>
    <x v="89"/>
  </r>
  <r>
    <s v="ORD1117"/>
    <x v="60"/>
    <x v="29"/>
    <x v="0"/>
    <n v="53"/>
    <x v="1"/>
    <x v="1"/>
    <x v="6"/>
    <x v="1"/>
    <x v="4"/>
    <n v="80"/>
    <x v="1"/>
    <x v="2"/>
    <x v="3"/>
    <x v="3"/>
    <x v="0"/>
    <n v="130"/>
    <x v="90"/>
  </r>
  <r>
    <s v="ORD1118"/>
    <x v="88"/>
    <x v="4"/>
    <x v="1"/>
    <n v="23"/>
    <x v="4"/>
    <x v="4"/>
    <x v="3"/>
    <x v="2"/>
    <x v="5"/>
    <n v="2"/>
    <x v="1"/>
    <x v="2"/>
    <x v="3"/>
    <x v="4"/>
    <x v="0"/>
    <n v="52"/>
    <x v="91"/>
  </r>
  <r>
    <s v="ORD1119"/>
    <x v="76"/>
    <x v="18"/>
    <x v="1"/>
    <n v="31"/>
    <x v="1"/>
    <x v="1"/>
    <x v="6"/>
    <x v="1"/>
    <x v="0"/>
    <n v="80"/>
    <x v="3"/>
    <x v="5"/>
    <x v="1"/>
    <x v="4"/>
    <x v="0"/>
    <n v="130"/>
    <x v="92"/>
  </r>
  <r>
    <s v="ORD1120"/>
    <x v="89"/>
    <x v="45"/>
    <x v="0"/>
    <n v="22"/>
    <x v="0"/>
    <x v="0"/>
    <x v="3"/>
    <x v="2"/>
    <x v="4"/>
    <n v="2"/>
    <x v="3"/>
    <x v="5"/>
    <x v="2"/>
    <x v="1"/>
    <x v="0"/>
    <n v="52"/>
    <x v="58"/>
  </r>
  <r>
    <s v="ORD1121"/>
    <x v="46"/>
    <x v="19"/>
    <x v="0"/>
    <n v="41"/>
    <x v="4"/>
    <x v="4"/>
    <x v="2"/>
    <x v="0"/>
    <x v="6"/>
    <n v="15"/>
    <x v="1"/>
    <x v="3"/>
    <x v="1"/>
    <x v="3"/>
    <x v="0"/>
    <n v="65"/>
    <x v="93"/>
  </r>
  <r>
    <s v="ORD1122"/>
    <x v="8"/>
    <x v="4"/>
    <x v="0"/>
    <n v="43"/>
    <x v="2"/>
    <x v="2"/>
    <x v="2"/>
    <x v="0"/>
    <x v="0"/>
    <n v="15"/>
    <x v="3"/>
    <x v="5"/>
    <x v="0"/>
    <x v="4"/>
    <x v="0"/>
    <n v="65"/>
    <x v="93"/>
  </r>
  <r>
    <s v="ORD1123"/>
    <x v="90"/>
    <x v="17"/>
    <x v="0"/>
    <n v="57"/>
    <x v="2"/>
    <x v="2"/>
    <x v="1"/>
    <x v="1"/>
    <x v="1"/>
    <n v="120"/>
    <x v="3"/>
    <x v="1"/>
    <x v="2"/>
    <x v="3"/>
    <x v="0"/>
    <n v="170"/>
    <x v="5"/>
  </r>
  <r>
    <s v="ORD1124"/>
    <x v="84"/>
    <x v="13"/>
    <x v="1"/>
    <n v="31"/>
    <x v="1"/>
    <x v="1"/>
    <x v="7"/>
    <x v="0"/>
    <x v="6"/>
    <n v="180"/>
    <x v="0"/>
    <x v="1"/>
    <x v="1"/>
    <x v="0"/>
    <x v="0"/>
    <n v="230"/>
    <x v="94"/>
  </r>
  <r>
    <s v="ORD1125"/>
    <x v="91"/>
    <x v="22"/>
    <x v="1"/>
    <n v="55"/>
    <x v="1"/>
    <x v="1"/>
    <x v="2"/>
    <x v="0"/>
    <x v="2"/>
    <n v="15"/>
    <x v="1"/>
    <x v="2"/>
    <x v="0"/>
    <x v="5"/>
    <x v="0"/>
    <n v="65"/>
    <x v="95"/>
  </r>
  <r>
    <s v="ORD1126"/>
    <x v="92"/>
    <x v="29"/>
    <x v="1"/>
    <n v="27"/>
    <x v="2"/>
    <x v="2"/>
    <x v="1"/>
    <x v="1"/>
    <x v="4"/>
    <n v="120"/>
    <x v="2"/>
    <x v="2"/>
    <x v="1"/>
    <x v="2"/>
    <x v="0"/>
    <n v="170"/>
    <x v="96"/>
  </r>
  <r>
    <s v="ORD1127"/>
    <x v="93"/>
    <x v="41"/>
    <x v="0"/>
    <n v="35"/>
    <x v="3"/>
    <x v="3"/>
    <x v="0"/>
    <x v="0"/>
    <x v="6"/>
    <n v="850"/>
    <x v="0"/>
    <x v="2"/>
    <x v="1"/>
    <x v="0"/>
    <x v="0"/>
    <n v="900"/>
    <x v="97"/>
  </r>
  <r>
    <s v="ORD1128"/>
    <x v="94"/>
    <x v="8"/>
    <x v="1"/>
    <n v="52"/>
    <x v="0"/>
    <x v="0"/>
    <x v="7"/>
    <x v="0"/>
    <x v="3"/>
    <n v="180"/>
    <x v="3"/>
    <x v="5"/>
    <x v="0"/>
    <x v="1"/>
    <x v="0"/>
    <n v="230"/>
    <x v="98"/>
  </r>
  <r>
    <s v="ORD1129"/>
    <x v="26"/>
    <x v="46"/>
    <x v="1"/>
    <n v="25"/>
    <x v="0"/>
    <x v="0"/>
    <x v="4"/>
    <x v="2"/>
    <x v="8"/>
    <n v="5"/>
    <x v="3"/>
    <x v="4"/>
    <x v="2"/>
    <x v="1"/>
    <x v="0"/>
    <n v="55"/>
    <x v="99"/>
  </r>
  <r>
    <s v="ORD1130"/>
    <x v="30"/>
    <x v="2"/>
    <x v="0"/>
    <n v="23"/>
    <x v="2"/>
    <x v="2"/>
    <x v="1"/>
    <x v="1"/>
    <x v="0"/>
    <n v="120"/>
    <x v="2"/>
    <x v="1"/>
    <x v="1"/>
    <x v="1"/>
    <x v="0"/>
    <n v="170"/>
    <x v="100"/>
  </r>
  <r>
    <s v="ORD1131"/>
    <x v="95"/>
    <x v="33"/>
    <x v="0"/>
    <n v="48"/>
    <x v="0"/>
    <x v="0"/>
    <x v="3"/>
    <x v="2"/>
    <x v="2"/>
    <n v="2"/>
    <x v="3"/>
    <x v="0"/>
    <x v="1"/>
    <x v="0"/>
    <x v="0"/>
    <n v="52"/>
    <x v="8"/>
  </r>
  <r>
    <s v="ORD1132"/>
    <x v="96"/>
    <x v="10"/>
    <x v="0"/>
    <n v="43"/>
    <x v="0"/>
    <x v="0"/>
    <x v="7"/>
    <x v="0"/>
    <x v="0"/>
    <n v="180"/>
    <x v="0"/>
    <x v="1"/>
    <x v="3"/>
    <x v="5"/>
    <x v="0"/>
    <n v="230"/>
    <x v="101"/>
  </r>
  <r>
    <s v="ORD1133"/>
    <x v="55"/>
    <x v="35"/>
    <x v="0"/>
    <n v="31"/>
    <x v="1"/>
    <x v="1"/>
    <x v="2"/>
    <x v="0"/>
    <x v="8"/>
    <n v="15"/>
    <x v="2"/>
    <x v="2"/>
    <x v="3"/>
    <x v="1"/>
    <x v="0"/>
    <n v="65"/>
    <x v="15"/>
  </r>
  <r>
    <s v="ORD1134"/>
    <x v="54"/>
    <x v="6"/>
    <x v="1"/>
    <n v="31"/>
    <x v="0"/>
    <x v="0"/>
    <x v="1"/>
    <x v="1"/>
    <x v="1"/>
    <n v="120"/>
    <x v="3"/>
    <x v="4"/>
    <x v="0"/>
    <x v="1"/>
    <x v="0"/>
    <n v="170"/>
    <x v="5"/>
  </r>
  <r>
    <s v="ORD1135"/>
    <x v="87"/>
    <x v="10"/>
    <x v="1"/>
    <n v="28"/>
    <x v="1"/>
    <x v="1"/>
    <x v="4"/>
    <x v="2"/>
    <x v="2"/>
    <n v="5"/>
    <x v="1"/>
    <x v="2"/>
    <x v="1"/>
    <x v="0"/>
    <x v="0"/>
    <n v="55"/>
    <x v="67"/>
  </r>
  <r>
    <s v="ORD1136"/>
    <x v="97"/>
    <x v="34"/>
    <x v="0"/>
    <n v="32"/>
    <x v="0"/>
    <x v="0"/>
    <x v="1"/>
    <x v="1"/>
    <x v="6"/>
    <n v="120"/>
    <x v="3"/>
    <x v="2"/>
    <x v="1"/>
    <x v="3"/>
    <x v="0"/>
    <n v="170"/>
    <x v="102"/>
  </r>
  <r>
    <s v="ORD1137"/>
    <x v="85"/>
    <x v="24"/>
    <x v="1"/>
    <n v="23"/>
    <x v="1"/>
    <x v="1"/>
    <x v="0"/>
    <x v="0"/>
    <x v="6"/>
    <n v="850"/>
    <x v="0"/>
    <x v="0"/>
    <x v="2"/>
    <x v="3"/>
    <x v="0"/>
    <n v="900"/>
    <x v="97"/>
  </r>
  <r>
    <s v="ORD1138"/>
    <x v="98"/>
    <x v="10"/>
    <x v="0"/>
    <n v="54"/>
    <x v="3"/>
    <x v="3"/>
    <x v="7"/>
    <x v="0"/>
    <x v="0"/>
    <n v="180"/>
    <x v="0"/>
    <x v="3"/>
    <x v="0"/>
    <x v="2"/>
    <x v="0"/>
    <n v="230"/>
    <x v="101"/>
  </r>
  <r>
    <s v="ORD1139"/>
    <x v="90"/>
    <x v="21"/>
    <x v="1"/>
    <n v="26"/>
    <x v="1"/>
    <x v="1"/>
    <x v="7"/>
    <x v="0"/>
    <x v="6"/>
    <n v="180"/>
    <x v="0"/>
    <x v="1"/>
    <x v="1"/>
    <x v="3"/>
    <x v="0"/>
    <n v="230"/>
    <x v="94"/>
  </r>
  <r>
    <s v="ORD1140"/>
    <x v="99"/>
    <x v="44"/>
    <x v="1"/>
    <n v="35"/>
    <x v="0"/>
    <x v="0"/>
    <x v="5"/>
    <x v="0"/>
    <x v="4"/>
    <n v="500"/>
    <x v="0"/>
    <x v="0"/>
    <x v="0"/>
    <x v="1"/>
    <x v="0"/>
    <n v="550"/>
    <x v="103"/>
  </r>
  <r>
    <s v="ORD1141"/>
    <x v="100"/>
    <x v="18"/>
    <x v="0"/>
    <n v="57"/>
    <x v="2"/>
    <x v="2"/>
    <x v="0"/>
    <x v="0"/>
    <x v="3"/>
    <n v="850"/>
    <x v="3"/>
    <x v="5"/>
    <x v="0"/>
    <x v="2"/>
    <x v="0"/>
    <n v="900"/>
    <x v="104"/>
  </r>
  <r>
    <s v="ORD1142"/>
    <x v="68"/>
    <x v="7"/>
    <x v="1"/>
    <n v="21"/>
    <x v="4"/>
    <x v="4"/>
    <x v="5"/>
    <x v="0"/>
    <x v="0"/>
    <n v="500"/>
    <x v="2"/>
    <x v="4"/>
    <x v="1"/>
    <x v="3"/>
    <x v="0"/>
    <n v="550"/>
    <x v="105"/>
  </r>
  <r>
    <s v="ORD1143"/>
    <x v="101"/>
    <x v="25"/>
    <x v="0"/>
    <n v="60"/>
    <x v="0"/>
    <x v="0"/>
    <x v="3"/>
    <x v="2"/>
    <x v="5"/>
    <n v="2"/>
    <x v="2"/>
    <x v="3"/>
    <x v="1"/>
    <x v="3"/>
    <x v="0"/>
    <n v="52"/>
    <x v="19"/>
  </r>
  <r>
    <s v="ORD1144"/>
    <x v="102"/>
    <x v="36"/>
    <x v="0"/>
    <n v="21"/>
    <x v="1"/>
    <x v="1"/>
    <x v="1"/>
    <x v="1"/>
    <x v="6"/>
    <n v="120"/>
    <x v="2"/>
    <x v="5"/>
    <x v="2"/>
    <x v="0"/>
    <x v="0"/>
    <n v="170"/>
    <x v="106"/>
  </r>
  <r>
    <s v="ORD1145"/>
    <x v="12"/>
    <x v="41"/>
    <x v="0"/>
    <n v="23"/>
    <x v="1"/>
    <x v="1"/>
    <x v="5"/>
    <x v="0"/>
    <x v="1"/>
    <n v="500"/>
    <x v="1"/>
    <x v="4"/>
    <x v="2"/>
    <x v="1"/>
    <x v="0"/>
    <n v="550"/>
    <x v="107"/>
  </r>
  <r>
    <s v="ORD1146"/>
    <x v="103"/>
    <x v="37"/>
    <x v="1"/>
    <n v="31"/>
    <x v="4"/>
    <x v="4"/>
    <x v="7"/>
    <x v="0"/>
    <x v="4"/>
    <n v="180"/>
    <x v="0"/>
    <x v="0"/>
    <x v="0"/>
    <x v="1"/>
    <x v="0"/>
    <n v="230"/>
    <x v="108"/>
  </r>
  <r>
    <s v="ORD1147"/>
    <x v="104"/>
    <x v="11"/>
    <x v="0"/>
    <n v="52"/>
    <x v="1"/>
    <x v="1"/>
    <x v="0"/>
    <x v="0"/>
    <x v="3"/>
    <n v="850"/>
    <x v="1"/>
    <x v="2"/>
    <x v="1"/>
    <x v="3"/>
    <x v="0"/>
    <n v="900"/>
    <x v="20"/>
  </r>
  <r>
    <s v="ORD1148"/>
    <x v="19"/>
    <x v="12"/>
    <x v="1"/>
    <n v="24"/>
    <x v="1"/>
    <x v="1"/>
    <x v="4"/>
    <x v="2"/>
    <x v="8"/>
    <n v="5"/>
    <x v="0"/>
    <x v="4"/>
    <x v="2"/>
    <x v="3"/>
    <x v="0"/>
    <n v="55"/>
    <x v="50"/>
  </r>
  <r>
    <s v="ORD1149"/>
    <x v="105"/>
    <x v="47"/>
    <x v="0"/>
    <n v="33"/>
    <x v="2"/>
    <x v="2"/>
    <x v="6"/>
    <x v="1"/>
    <x v="9"/>
    <n v="80"/>
    <x v="0"/>
    <x v="2"/>
    <x v="3"/>
    <x v="3"/>
    <x v="0"/>
    <n v="130"/>
    <x v="81"/>
  </r>
  <r>
    <s v="ORD1150"/>
    <x v="66"/>
    <x v="46"/>
    <x v="0"/>
    <n v="34"/>
    <x v="2"/>
    <x v="2"/>
    <x v="1"/>
    <x v="1"/>
    <x v="2"/>
    <n v="120"/>
    <x v="0"/>
    <x v="5"/>
    <x v="0"/>
    <x v="2"/>
    <x v="0"/>
    <n v="170"/>
    <x v="72"/>
  </r>
  <r>
    <s v="ORD1151"/>
    <x v="43"/>
    <x v="13"/>
    <x v="1"/>
    <n v="43"/>
    <x v="4"/>
    <x v="4"/>
    <x v="4"/>
    <x v="2"/>
    <x v="1"/>
    <n v="5"/>
    <x v="2"/>
    <x v="4"/>
    <x v="3"/>
    <x v="0"/>
    <x v="0"/>
    <n v="55"/>
    <x v="109"/>
  </r>
  <r>
    <s v="ORD1152"/>
    <x v="106"/>
    <x v="24"/>
    <x v="0"/>
    <n v="20"/>
    <x v="4"/>
    <x v="4"/>
    <x v="0"/>
    <x v="0"/>
    <x v="2"/>
    <n v="850"/>
    <x v="3"/>
    <x v="4"/>
    <x v="2"/>
    <x v="4"/>
    <x v="0"/>
    <n v="900"/>
    <x v="40"/>
  </r>
  <r>
    <s v="ORD1153"/>
    <x v="107"/>
    <x v="2"/>
    <x v="1"/>
    <n v="34"/>
    <x v="3"/>
    <x v="3"/>
    <x v="6"/>
    <x v="1"/>
    <x v="2"/>
    <n v="80"/>
    <x v="0"/>
    <x v="5"/>
    <x v="1"/>
    <x v="4"/>
    <x v="0"/>
    <n v="130"/>
    <x v="33"/>
  </r>
  <r>
    <s v="ORD1154"/>
    <x v="62"/>
    <x v="30"/>
    <x v="1"/>
    <n v="20"/>
    <x v="2"/>
    <x v="2"/>
    <x v="6"/>
    <x v="1"/>
    <x v="7"/>
    <n v="80"/>
    <x v="1"/>
    <x v="4"/>
    <x v="3"/>
    <x v="2"/>
    <x v="0"/>
    <n v="130"/>
    <x v="95"/>
  </r>
  <r>
    <s v="ORD1155"/>
    <x v="34"/>
    <x v="10"/>
    <x v="1"/>
    <n v="33"/>
    <x v="1"/>
    <x v="1"/>
    <x v="6"/>
    <x v="1"/>
    <x v="9"/>
    <n v="80"/>
    <x v="0"/>
    <x v="5"/>
    <x v="3"/>
    <x v="3"/>
    <x v="0"/>
    <n v="130"/>
    <x v="81"/>
  </r>
  <r>
    <s v="ORD1156"/>
    <x v="102"/>
    <x v="45"/>
    <x v="0"/>
    <n v="60"/>
    <x v="3"/>
    <x v="3"/>
    <x v="6"/>
    <x v="1"/>
    <x v="0"/>
    <n v="80"/>
    <x v="1"/>
    <x v="1"/>
    <x v="1"/>
    <x v="0"/>
    <x v="0"/>
    <n v="130"/>
    <x v="110"/>
  </r>
  <r>
    <s v="ORD1157"/>
    <x v="31"/>
    <x v="23"/>
    <x v="1"/>
    <n v="42"/>
    <x v="1"/>
    <x v="1"/>
    <x v="0"/>
    <x v="0"/>
    <x v="6"/>
    <n v="850"/>
    <x v="0"/>
    <x v="2"/>
    <x v="2"/>
    <x v="3"/>
    <x v="0"/>
    <n v="900"/>
    <x v="97"/>
  </r>
  <r>
    <s v="ORD1158"/>
    <x v="84"/>
    <x v="39"/>
    <x v="0"/>
    <n v="42"/>
    <x v="1"/>
    <x v="1"/>
    <x v="2"/>
    <x v="0"/>
    <x v="7"/>
    <n v="15"/>
    <x v="1"/>
    <x v="5"/>
    <x v="2"/>
    <x v="0"/>
    <x v="0"/>
    <n v="65"/>
    <x v="82"/>
  </r>
  <r>
    <s v="ORD1159"/>
    <x v="108"/>
    <x v="46"/>
    <x v="0"/>
    <n v="54"/>
    <x v="4"/>
    <x v="4"/>
    <x v="4"/>
    <x v="2"/>
    <x v="5"/>
    <n v="5"/>
    <x v="0"/>
    <x v="0"/>
    <x v="1"/>
    <x v="2"/>
    <x v="0"/>
    <n v="55"/>
    <x v="36"/>
  </r>
  <r>
    <s v="ORD1160"/>
    <x v="109"/>
    <x v="13"/>
    <x v="0"/>
    <n v="46"/>
    <x v="1"/>
    <x v="1"/>
    <x v="2"/>
    <x v="0"/>
    <x v="4"/>
    <n v="15"/>
    <x v="0"/>
    <x v="3"/>
    <x v="1"/>
    <x v="1"/>
    <x v="0"/>
    <n v="65"/>
    <x v="51"/>
  </r>
  <r>
    <s v="ORD1161"/>
    <x v="75"/>
    <x v="16"/>
    <x v="1"/>
    <n v="47"/>
    <x v="4"/>
    <x v="4"/>
    <x v="3"/>
    <x v="2"/>
    <x v="4"/>
    <n v="2"/>
    <x v="2"/>
    <x v="4"/>
    <x v="1"/>
    <x v="2"/>
    <x v="0"/>
    <n v="52"/>
    <x v="73"/>
  </r>
  <r>
    <s v="ORD1162"/>
    <x v="110"/>
    <x v="35"/>
    <x v="1"/>
    <n v="26"/>
    <x v="3"/>
    <x v="3"/>
    <x v="4"/>
    <x v="2"/>
    <x v="0"/>
    <n v="5"/>
    <x v="1"/>
    <x v="3"/>
    <x v="3"/>
    <x v="4"/>
    <x v="0"/>
    <n v="55"/>
    <x v="41"/>
  </r>
  <r>
    <s v="ORD1163"/>
    <x v="46"/>
    <x v="44"/>
    <x v="0"/>
    <n v="32"/>
    <x v="3"/>
    <x v="3"/>
    <x v="2"/>
    <x v="0"/>
    <x v="8"/>
    <n v="15"/>
    <x v="1"/>
    <x v="0"/>
    <x v="3"/>
    <x v="3"/>
    <x v="0"/>
    <n v="65"/>
    <x v="16"/>
  </r>
  <r>
    <s v="ORD1164"/>
    <x v="111"/>
    <x v="34"/>
    <x v="0"/>
    <n v="18"/>
    <x v="2"/>
    <x v="2"/>
    <x v="4"/>
    <x v="2"/>
    <x v="2"/>
    <n v="5"/>
    <x v="3"/>
    <x v="5"/>
    <x v="2"/>
    <x v="0"/>
    <x v="0"/>
    <n v="55"/>
    <x v="111"/>
  </r>
  <r>
    <s v="ORD1165"/>
    <x v="112"/>
    <x v="6"/>
    <x v="1"/>
    <n v="33"/>
    <x v="4"/>
    <x v="4"/>
    <x v="1"/>
    <x v="1"/>
    <x v="6"/>
    <n v="120"/>
    <x v="1"/>
    <x v="1"/>
    <x v="0"/>
    <x v="1"/>
    <x v="0"/>
    <n v="170"/>
    <x v="80"/>
  </r>
  <r>
    <s v="ORD1166"/>
    <x v="113"/>
    <x v="41"/>
    <x v="0"/>
    <n v="52"/>
    <x v="0"/>
    <x v="0"/>
    <x v="7"/>
    <x v="0"/>
    <x v="5"/>
    <n v="180"/>
    <x v="0"/>
    <x v="4"/>
    <x v="3"/>
    <x v="4"/>
    <x v="0"/>
    <n v="230"/>
    <x v="112"/>
  </r>
  <r>
    <s v="ORD1167"/>
    <x v="114"/>
    <x v="30"/>
    <x v="1"/>
    <n v="28"/>
    <x v="1"/>
    <x v="1"/>
    <x v="0"/>
    <x v="0"/>
    <x v="0"/>
    <n v="850"/>
    <x v="0"/>
    <x v="0"/>
    <x v="3"/>
    <x v="3"/>
    <x v="0"/>
    <n v="900"/>
    <x v="0"/>
  </r>
  <r>
    <s v="ORD1168"/>
    <x v="115"/>
    <x v="30"/>
    <x v="0"/>
    <n v="54"/>
    <x v="1"/>
    <x v="1"/>
    <x v="0"/>
    <x v="0"/>
    <x v="9"/>
    <n v="850"/>
    <x v="1"/>
    <x v="1"/>
    <x v="0"/>
    <x v="0"/>
    <x v="0"/>
    <n v="900"/>
    <x v="30"/>
  </r>
  <r>
    <s v="ORD1169"/>
    <x v="57"/>
    <x v="0"/>
    <x v="1"/>
    <n v="24"/>
    <x v="1"/>
    <x v="1"/>
    <x v="3"/>
    <x v="2"/>
    <x v="2"/>
    <n v="2"/>
    <x v="1"/>
    <x v="5"/>
    <x v="2"/>
    <x v="2"/>
    <x v="0"/>
    <n v="52"/>
    <x v="113"/>
  </r>
  <r>
    <s v="ORD1170"/>
    <x v="12"/>
    <x v="17"/>
    <x v="0"/>
    <n v="31"/>
    <x v="4"/>
    <x v="4"/>
    <x v="6"/>
    <x v="1"/>
    <x v="2"/>
    <n v="80"/>
    <x v="0"/>
    <x v="2"/>
    <x v="0"/>
    <x v="1"/>
    <x v="0"/>
    <n v="130"/>
    <x v="33"/>
  </r>
  <r>
    <s v="ORD1171"/>
    <x v="116"/>
    <x v="21"/>
    <x v="0"/>
    <n v="45"/>
    <x v="4"/>
    <x v="4"/>
    <x v="5"/>
    <x v="0"/>
    <x v="0"/>
    <n v="500"/>
    <x v="3"/>
    <x v="2"/>
    <x v="2"/>
    <x v="0"/>
    <x v="0"/>
    <n v="550"/>
    <x v="11"/>
  </r>
  <r>
    <s v="ORD1172"/>
    <x v="117"/>
    <x v="25"/>
    <x v="0"/>
    <n v="38"/>
    <x v="4"/>
    <x v="4"/>
    <x v="5"/>
    <x v="0"/>
    <x v="1"/>
    <n v="500"/>
    <x v="2"/>
    <x v="0"/>
    <x v="1"/>
    <x v="0"/>
    <x v="0"/>
    <n v="550"/>
    <x v="114"/>
  </r>
  <r>
    <s v="ORD1173"/>
    <x v="76"/>
    <x v="40"/>
    <x v="0"/>
    <n v="58"/>
    <x v="4"/>
    <x v="4"/>
    <x v="4"/>
    <x v="2"/>
    <x v="1"/>
    <n v="5"/>
    <x v="3"/>
    <x v="2"/>
    <x v="2"/>
    <x v="4"/>
    <x v="0"/>
    <n v="55"/>
    <x v="115"/>
  </r>
  <r>
    <s v="ORD1174"/>
    <x v="49"/>
    <x v="18"/>
    <x v="1"/>
    <n v="34"/>
    <x v="3"/>
    <x v="3"/>
    <x v="6"/>
    <x v="1"/>
    <x v="9"/>
    <n v="80"/>
    <x v="1"/>
    <x v="2"/>
    <x v="2"/>
    <x v="0"/>
    <x v="0"/>
    <n v="130"/>
    <x v="66"/>
  </r>
  <r>
    <s v="ORD1175"/>
    <x v="96"/>
    <x v="8"/>
    <x v="1"/>
    <n v="39"/>
    <x v="2"/>
    <x v="2"/>
    <x v="5"/>
    <x v="0"/>
    <x v="1"/>
    <n v="500"/>
    <x v="1"/>
    <x v="4"/>
    <x v="1"/>
    <x v="5"/>
    <x v="0"/>
    <n v="550"/>
    <x v="107"/>
  </r>
  <r>
    <s v="ORD1176"/>
    <x v="118"/>
    <x v="18"/>
    <x v="1"/>
    <n v="53"/>
    <x v="3"/>
    <x v="3"/>
    <x v="1"/>
    <x v="1"/>
    <x v="2"/>
    <n v="120"/>
    <x v="2"/>
    <x v="2"/>
    <x v="1"/>
    <x v="4"/>
    <x v="0"/>
    <n v="170"/>
    <x v="65"/>
  </r>
  <r>
    <s v="ORD1177"/>
    <x v="92"/>
    <x v="9"/>
    <x v="0"/>
    <n v="40"/>
    <x v="3"/>
    <x v="3"/>
    <x v="0"/>
    <x v="0"/>
    <x v="1"/>
    <n v="850"/>
    <x v="3"/>
    <x v="3"/>
    <x v="3"/>
    <x v="2"/>
    <x v="0"/>
    <n v="900"/>
    <x v="71"/>
  </r>
  <r>
    <s v="ORD1178"/>
    <x v="119"/>
    <x v="45"/>
    <x v="0"/>
    <n v="33"/>
    <x v="1"/>
    <x v="1"/>
    <x v="5"/>
    <x v="0"/>
    <x v="8"/>
    <n v="500"/>
    <x v="3"/>
    <x v="1"/>
    <x v="1"/>
    <x v="2"/>
    <x v="0"/>
    <n v="550"/>
    <x v="116"/>
  </r>
  <r>
    <s v="ORD1179"/>
    <x v="12"/>
    <x v="8"/>
    <x v="0"/>
    <n v="45"/>
    <x v="3"/>
    <x v="3"/>
    <x v="0"/>
    <x v="0"/>
    <x v="7"/>
    <n v="850"/>
    <x v="0"/>
    <x v="3"/>
    <x v="3"/>
    <x v="1"/>
    <x v="0"/>
    <n v="900"/>
    <x v="43"/>
  </r>
  <r>
    <s v="ORD1180"/>
    <x v="99"/>
    <x v="15"/>
    <x v="0"/>
    <n v="21"/>
    <x v="4"/>
    <x v="4"/>
    <x v="6"/>
    <x v="1"/>
    <x v="8"/>
    <n v="80"/>
    <x v="0"/>
    <x v="3"/>
    <x v="1"/>
    <x v="1"/>
    <x v="0"/>
    <n v="130"/>
    <x v="18"/>
  </r>
  <r>
    <s v="ORD1181"/>
    <x v="14"/>
    <x v="14"/>
    <x v="0"/>
    <n v="42"/>
    <x v="4"/>
    <x v="4"/>
    <x v="7"/>
    <x v="0"/>
    <x v="8"/>
    <n v="180"/>
    <x v="2"/>
    <x v="1"/>
    <x v="3"/>
    <x v="1"/>
    <x v="0"/>
    <n v="230"/>
    <x v="117"/>
  </r>
  <r>
    <s v="ORD1182"/>
    <x v="120"/>
    <x v="2"/>
    <x v="1"/>
    <n v="34"/>
    <x v="3"/>
    <x v="3"/>
    <x v="3"/>
    <x v="2"/>
    <x v="2"/>
    <n v="2"/>
    <x v="0"/>
    <x v="4"/>
    <x v="0"/>
    <x v="2"/>
    <x v="0"/>
    <n v="52"/>
    <x v="118"/>
  </r>
  <r>
    <s v="ORD1183"/>
    <x v="3"/>
    <x v="14"/>
    <x v="0"/>
    <n v="24"/>
    <x v="0"/>
    <x v="0"/>
    <x v="1"/>
    <x v="1"/>
    <x v="6"/>
    <n v="120"/>
    <x v="0"/>
    <x v="5"/>
    <x v="1"/>
    <x v="3"/>
    <x v="0"/>
    <n v="170"/>
    <x v="119"/>
  </r>
  <r>
    <s v="ORD1184"/>
    <x v="121"/>
    <x v="35"/>
    <x v="1"/>
    <n v="47"/>
    <x v="4"/>
    <x v="4"/>
    <x v="4"/>
    <x v="2"/>
    <x v="8"/>
    <n v="5"/>
    <x v="3"/>
    <x v="3"/>
    <x v="0"/>
    <x v="3"/>
    <x v="0"/>
    <n v="55"/>
    <x v="99"/>
  </r>
  <r>
    <s v="ORD1185"/>
    <x v="122"/>
    <x v="0"/>
    <x v="0"/>
    <n v="56"/>
    <x v="2"/>
    <x v="2"/>
    <x v="0"/>
    <x v="0"/>
    <x v="8"/>
    <n v="850"/>
    <x v="0"/>
    <x v="3"/>
    <x v="2"/>
    <x v="5"/>
    <x v="0"/>
    <n v="900"/>
    <x v="120"/>
  </r>
  <r>
    <s v="ORD1186"/>
    <x v="123"/>
    <x v="43"/>
    <x v="0"/>
    <n v="33"/>
    <x v="3"/>
    <x v="3"/>
    <x v="6"/>
    <x v="1"/>
    <x v="7"/>
    <n v="80"/>
    <x v="3"/>
    <x v="5"/>
    <x v="2"/>
    <x v="4"/>
    <x v="0"/>
    <n v="130"/>
    <x v="35"/>
  </r>
  <r>
    <s v="ORD1187"/>
    <x v="12"/>
    <x v="20"/>
    <x v="1"/>
    <n v="53"/>
    <x v="1"/>
    <x v="1"/>
    <x v="3"/>
    <x v="2"/>
    <x v="4"/>
    <n v="2"/>
    <x v="2"/>
    <x v="2"/>
    <x v="0"/>
    <x v="1"/>
    <x v="0"/>
    <n v="52"/>
    <x v="73"/>
  </r>
  <r>
    <s v="ORD1188"/>
    <x v="74"/>
    <x v="26"/>
    <x v="0"/>
    <n v="52"/>
    <x v="2"/>
    <x v="2"/>
    <x v="6"/>
    <x v="1"/>
    <x v="1"/>
    <n v="80"/>
    <x v="0"/>
    <x v="5"/>
    <x v="1"/>
    <x v="3"/>
    <x v="0"/>
    <n v="130"/>
    <x v="121"/>
  </r>
  <r>
    <s v="ORD1189"/>
    <x v="50"/>
    <x v="31"/>
    <x v="0"/>
    <n v="45"/>
    <x v="0"/>
    <x v="0"/>
    <x v="6"/>
    <x v="1"/>
    <x v="0"/>
    <n v="80"/>
    <x v="2"/>
    <x v="5"/>
    <x v="1"/>
    <x v="2"/>
    <x v="0"/>
    <n v="130"/>
    <x v="122"/>
  </r>
  <r>
    <s v="ORD1190"/>
    <x v="113"/>
    <x v="27"/>
    <x v="1"/>
    <n v="28"/>
    <x v="4"/>
    <x v="4"/>
    <x v="6"/>
    <x v="1"/>
    <x v="9"/>
    <n v="80"/>
    <x v="0"/>
    <x v="5"/>
    <x v="1"/>
    <x v="4"/>
    <x v="0"/>
    <n v="130"/>
    <x v="81"/>
  </r>
  <r>
    <s v="ORD1191"/>
    <x v="124"/>
    <x v="34"/>
    <x v="1"/>
    <n v="59"/>
    <x v="0"/>
    <x v="0"/>
    <x v="3"/>
    <x v="2"/>
    <x v="2"/>
    <n v="2"/>
    <x v="0"/>
    <x v="2"/>
    <x v="1"/>
    <x v="5"/>
    <x v="0"/>
    <n v="52"/>
    <x v="118"/>
  </r>
  <r>
    <s v="ORD1192"/>
    <x v="73"/>
    <x v="46"/>
    <x v="1"/>
    <n v="57"/>
    <x v="1"/>
    <x v="1"/>
    <x v="5"/>
    <x v="0"/>
    <x v="5"/>
    <n v="500"/>
    <x v="2"/>
    <x v="2"/>
    <x v="2"/>
    <x v="1"/>
    <x v="0"/>
    <n v="550"/>
    <x v="17"/>
  </r>
  <r>
    <s v="ORD1193"/>
    <x v="49"/>
    <x v="12"/>
    <x v="1"/>
    <n v="60"/>
    <x v="1"/>
    <x v="1"/>
    <x v="7"/>
    <x v="0"/>
    <x v="6"/>
    <n v="180"/>
    <x v="3"/>
    <x v="2"/>
    <x v="2"/>
    <x v="0"/>
    <x v="0"/>
    <n v="230"/>
    <x v="123"/>
  </r>
  <r>
    <s v="ORD1194"/>
    <x v="125"/>
    <x v="16"/>
    <x v="0"/>
    <n v="55"/>
    <x v="4"/>
    <x v="4"/>
    <x v="6"/>
    <x v="1"/>
    <x v="5"/>
    <n v="80"/>
    <x v="0"/>
    <x v="1"/>
    <x v="3"/>
    <x v="3"/>
    <x v="0"/>
    <n v="130"/>
    <x v="51"/>
  </r>
  <r>
    <s v="ORD1195"/>
    <x v="126"/>
    <x v="5"/>
    <x v="1"/>
    <n v="50"/>
    <x v="1"/>
    <x v="1"/>
    <x v="3"/>
    <x v="2"/>
    <x v="8"/>
    <n v="2"/>
    <x v="0"/>
    <x v="3"/>
    <x v="1"/>
    <x v="2"/>
    <x v="0"/>
    <n v="52"/>
    <x v="124"/>
  </r>
  <r>
    <s v="ORD1196"/>
    <x v="123"/>
    <x v="13"/>
    <x v="0"/>
    <n v="23"/>
    <x v="0"/>
    <x v="0"/>
    <x v="3"/>
    <x v="2"/>
    <x v="6"/>
    <n v="2"/>
    <x v="0"/>
    <x v="3"/>
    <x v="3"/>
    <x v="4"/>
    <x v="0"/>
    <n v="52"/>
    <x v="125"/>
  </r>
  <r>
    <s v="ORD1197"/>
    <x v="73"/>
    <x v="9"/>
    <x v="1"/>
    <n v="55"/>
    <x v="0"/>
    <x v="0"/>
    <x v="7"/>
    <x v="0"/>
    <x v="1"/>
    <n v="180"/>
    <x v="3"/>
    <x v="4"/>
    <x v="1"/>
    <x v="1"/>
    <x v="0"/>
    <n v="230"/>
    <x v="126"/>
  </r>
  <r>
    <s v="ORD1198"/>
    <x v="18"/>
    <x v="35"/>
    <x v="1"/>
    <n v="37"/>
    <x v="3"/>
    <x v="3"/>
    <x v="5"/>
    <x v="0"/>
    <x v="2"/>
    <n v="500"/>
    <x v="1"/>
    <x v="4"/>
    <x v="2"/>
    <x v="5"/>
    <x v="0"/>
    <n v="550"/>
    <x v="127"/>
  </r>
  <r>
    <s v="ORD1199"/>
    <x v="97"/>
    <x v="28"/>
    <x v="1"/>
    <n v="34"/>
    <x v="3"/>
    <x v="3"/>
    <x v="0"/>
    <x v="0"/>
    <x v="3"/>
    <n v="850"/>
    <x v="2"/>
    <x v="0"/>
    <x v="0"/>
    <x v="3"/>
    <x v="0"/>
    <n v="900"/>
    <x v="128"/>
  </r>
  <r>
    <s v="ORD1200"/>
    <x v="127"/>
    <x v="6"/>
    <x v="1"/>
    <n v="27"/>
    <x v="1"/>
    <x v="1"/>
    <x v="7"/>
    <x v="0"/>
    <x v="8"/>
    <n v="180"/>
    <x v="3"/>
    <x v="3"/>
    <x v="3"/>
    <x v="2"/>
    <x v="0"/>
    <n v="230"/>
    <x v="129"/>
  </r>
  <r>
    <s v="ORD1201"/>
    <x v="128"/>
    <x v="44"/>
    <x v="0"/>
    <n v="29"/>
    <x v="0"/>
    <x v="0"/>
    <x v="3"/>
    <x v="2"/>
    <x v="7"/>
    <n v="2"/>
    <x v="2"/>
    <x v="2"/>
    <x v="2"/>
    <x v="1"/>
    <x v="0"/>
    <n v="52"/>
    <x v="130"/>
  </r>
  <r>
    <s v="ORD1202"/>
    <x v="129"/>
    <x v="45"/>
    <x v="0"/>
    <n v="47"/>
    <x v="3"/>
    <x v="3"/>
    <x v="4"/>
    <x v="2"/>
    <x v="6"/>
    <n v="5"/>
    <x v="1"/>
    <x v="0"/>
    <x v="2"/>
    <x v="4"/>
    <x v="0"/>
    <n v="55"/>
    <x v="131"/>
  </r>
  <r>
    <s v="ORD1203"/>
    <x v="65"/>
    <x v="5"/>
    <x v="0"/>
    <n v="18"/>
    <x v="2"/>
    <x v="2"/>
    <x v="5"/>
    <x v="0"/>
    <x v="9"/>
    <n v="500"/>
    <x v="2"/>
    <x v="1"/>
    <x v="0"/>
    <x v="5"/>
    <x v="0"/>
    <n v="550"/>
    <x v="132"/>
  </r>
  <r>
    <s v="ORD1204"/>
    <x v="72"/>
    <x v="32"/>
    <x v="1"/>
    <n v="35"/>
    <x v="2"/>
    <x v="2"/>
    <x v="3"/>
    <x v="2"/>
    <x v="5"/>
    <n v="2"/>
    <x v="3"/>
    <x v="3"/>
    <x v="0"/>
    <x v="1"/>
    <x v="0"/>
    <n v="52"/>
    <x v="133"/>
  </r>
  <r>
    <s v="ORD1205"/>
    <x v="14"/>
    <x v="28"/>
    <x v="0"/>
    <n v="46"/>
    <x v="4"/>
    <x v="4"/>
    <x v="2"/>
    <x v="0"/>
    <x v="0"/>
    <n v="15"/>
    <x v="2"/>
    <x v="4"/>
    <x v="2"/>
    <x v="1"/>
    <x v="0"/>
    <n v="65"/>
    <x v="134"/>
  </r>
  <r>
    <s v="ORD1206"/>
    <x v="130"/>
    <x v="12"/>
    <x v="0"/>
    <n v="46"/>
    <x v="0"/>
    <x v="0"/>
    <x v="1"/>
    <x v="1"/>
    <x v="1"/>
    <n v="120"/>
    <x v="0"/>
    <x v="0"/>
    <x v="2"/>
    <x v="5"/>
    <x v="0"/>
    <n v="170"/>
    <x v="135"/>
  </r>
  <r>
    <s v="ORD1207"/>
    <x v="26"/>
    <x v="35"/>
    <x v="0"/>
    <n v="39"/>
    <x v="1"/>
    <x v="1"/>
    <x v="1"/>
    <x v="1"/>
    <x v="7"/>
    <n v="120"/>
    <x v="2"/>
    <x v="4"/>
    <x v="2"/>
    <x v="1"/>
    <x v="0"/>
    <n v="170"/>
    <x v="136"/>
  </r>
  <r>
    <s v="ORD1208"/>
    <x v="131"/>
    <x v="16"/>
    <x v="1"/>
    <n v="49"/>
    <x v="4"/>
    <x v="4"/>
    <x v="2"/>
    <x v="0"/>
    <x v="1"/>
    <n v="15"/>
    <x v="1"/>
    <x v="4"/>
    <x v="1"/>
    <x v="2"/>
    <x v="0"/>
    <n v="65"/>
    <x v="79"/>
  </r>
  <r>
    <s v="ORD1209"/>
    <x v="48"/>
    <x v="13"/>
    <x v="1"/>
    <n v="44"/>
    <x v="1"/>
    <x v="1"/>
    <x v="3"/>
    <x v="2"/>
    <x v="8"/>
    <n v="2"/>
    <x v="2"/>
    <x v="0"/>
    <x v="2"/>
    <x v="2"/>
    <x v="0"/>
    <n v="52"/>
    <x v="37"/>
  </r>
  <r>
    <s v="ORD1210"/>
    <x v="1"/>
    <x v="17"/>
    <x v="1"/>
    <n v="28"/>
    <x v="1"/>
    <x v="1"/>
    <x v="1"/>
    <x v="1"/>
    <x v="4"/>
    <n v="120"/>
    <x v="3"/>
    <x v="5"/>
    <x v="3"/>
    <x v="1"/>
    <x v="0"/>
    <n v="170"/>
    <x v="137"/>
  </r>
  <r>
    <s v="ORD1211"/>
    <x v="8"/>
    <x v="40"/>
    <x v="1"/>
    <n v="25"/>
    <x v="3"/>
    <x v="3"/>
    <x v="2"/>
    <x v="0"/>
    <x v="1"/>
    <n v="15"/>
    <x v="0"/>
    <x v="1"/>
    <x v="2"/>
    <x v="4"/>
    <x v="0"/>
    <n v="65"/>
    <x v="138"/>
  </r>
  <r>
    <s v="ORD1212"/>
    <x v="41"/>
    <x v="36"/>
    <x v="1"/>
    <n v="29"/>
    <x v="4"/>
    <x v="4"/>
    <x v="1"/>
    <x v="1"/>
    <x v="3"/>
    <n v="120"/>
    <x v="2"/>
    <x v="1"/>
    <x v="1"/>
    <x v="4"/>
    <x v="0"/>
    <n v="170"/>
    <x v="4"/>
  </r>
  <r>
    <s v="ORD1213"/>
    <x v="44"/>
    <x v="47"/>
    <x v="1"/>
    <n v="18"/>
    <x v="1"/>
    <x v="1"/>
    <x v="3"/>
    <x v="2"/>
    <x v="8"/>
    <n v="2"/>
    <x v="3"/>
    <x v="5"/>
    <x v="1"/>
    <x v="3"/>
    <x v="0"/>
    <n v="52"/>
    <x v="139"/>
  </r>
  <r>
    <s v="ORD1214"/>
    <x v="3"/>
    <x v="45"/>
    <x v="1"/>
    <n v="43"/>
    <x v="2"/>
    <x v="2"/>
    <x v="4"/>
    <x v="2"/>
    <x v="9"/>
    <n v="5"/>
    <x v="3"/>
    <x v="2"/>
    <x v="2"/>
    <x v="3"/>
    <x v="0"/>
    <n v="55"/>
    <x v="45"/>
  </r>
  <r>
    <s v="ORD1215"/>
    <x v="97"/>
    <x v="15"/>
    <x v="1"/>
    <n v="41"/>
    <x v="1"/>
    <x v="1"/>
    <x v="2"/>
    <x v="0"/>
    <x v="0"/>
    <n v="15"/>
    <x v="2"/>
    <x v="4"/>
    <x v="1"/>
    <x v="3"/>
    <x v="0"/>
    <n v="65"/>
    <x v="134"/>
  </r>
  <r>
    <s v="ORD1216"/>
    <x v="42"/>
    <x v="25"/>
    <x v="0"/>
    <n v="31"/>
    <x v="2"/>
    <x v="2"/>
    <x v="2"/>
    <x v="0"/>
    <x v="0"/>
    <n v="15"/>
    <x v="0"/>
    <x v="1"/>
    <x v="3"/>
    <x v="0"/>
    <x v="0"/>
    <n v="65"/>
    <x v="27"/>
  </r>
  <r>
    <s v="ORD1217"/>
    <x v="121"/>
    <x v="40"/>
    <x v="1"/>
    <n v="40"/>
    <x v="4"/>
    <x v="4"/>
    <x v="3"/>
    <x v="2"/>
    <x v="6"/>
    <n v="2"/>
    <x v="3"/>
    <x v="3"/>
    <x v="1"/>
    <x v="3"/>
    <x v="0"/>
    <n v="52"/>
    <x v="140"/>
  </r>
  <r>
    <s v="ORD1218"/>
    <x v="127"/>
    <x v="4"/>
    <x v="1"/>
    <n v="21"/>
    <x v="1"/>
    <x v="1"/>
    <x v="4"/>
    <x v="2"/>
    <x v="8"/>
    <n v="5"/>
    <x v="0"/>
    <x v="1"/>
    <x v="2"/>
    <x v="2"/>
    <x v="0"/>
    <n v="55"/>
    <x v="50"/>
  </r>
  <r>
    <s v="ORD1219"/>
    <x v="54"/>
    <x v="5"/>
    <x v="0"/>
    <n v="31"/>
    <x v="0"/>
    <x v="0"/>
    <x v="1"/>
    <x v="1"/>
    <x v="7"/>
    <n v="120"/>
    <x v="2"/>
    <x v="3"/>
    <x v="0"/>
    <x v="1"/>
    <x v="0"/>
    <n v="170"/>
    <x v="136"/>
  </r>
  <r>
    <s v="ORD1220"/>
    <x v="132"/>
    <x v="19"/>
    <x v="1"/>
    <n v="37"/>
    <x v="2"/>
    <x v="2"/>
    <x v="7"/>
    <x v="0"/>
    <x v="5"/>
    <n v="180"/>
    <x v="3"/>
    <x v="4"/>
    <x v="1"/>
    <x v="1"/>
    <x v="0"/>
    <n v="230"/>
    <x v="141"/>
  </r>
  <r>
    <s v="ORD1221"/>
    <x v="120"/>
    <x v="40"/>
    <x v="1"/>
    <n v="24"/>
    <x v="0"/>
    <x v="0"/>
    <x v="1"/>
    <x v="1"/>
    <x v="0"/>
    <n v="120"/>
    <x v="2"/>
    <x v="4"/>
    <x v="1"/>
    <x v="2"/>
    <x v="0"/>
    <n v="170"/>
    <x v="100"/>
  </r>
  <r>
    <s v="ORD1222"/>
    <x v="133"/>
    <x v="4"/>
    <x v="0"/>
    <n v="37"/>
    <x v="1"/>
    <x v="1"/>
    <x v="1"/>
    <x v="1"/>
    <x v="5"/>
    <n v="120"/>
    <x v="1"/>
    <x v="2"/>
    <x v="2"/>
    <x v="5"/>
    <x v="0"/>
    <n v="170"/>
    <x v="39"/>
  </r>
  <r>
    <s v="ORD1223"/>
    <x v="134"/>
    <x v="28"/>
    <x v="1"/>
    <n v="27"/>
    <x v="1"/>
    <x v="1"/>
    <x v="2"/>
    <x v="0"/>
    <x v="5"/>
    <n v="15"/>
    <x v="1"/>
    <x v="1"/>
    <x v="1"/>
    <x v="0"/>
    <x v="0"/>
    <n v="65"/>
    <x v="10"/>
  </r>
  <r>
    <s v="ORD1224"/>
    <x v="54"/>
    <x v="2"/>
    <x v="0"/>
    <n v="59"/>
    <x v="0"/>
    <x v="0"/>
    <x v="2"/>
    <x v="0"/>
    <x v="1"/>
    <n v="15"/>
    <x v="2"/>
    <x v="2"/>
    <x v="3"/>
    <x v="1"/>
    <x v="0"/>
    <n v="65"/>
    <x v="142"/>
  </r>
  <r>
    <s v="ORD1225"/>
    <x v="61"/>
    <x v="18"/>
    <x v="1"/>
    <n v="40"/>
    <x v="4"/>
    <x v="4"/>
    <x v="2"/>
    <x v="0"/>
    <x v="8"/>
    <n v="15"/>
    <x v="3"/>
    <x v="0"/>
    <x v="1"/>
    <x v="5"/>
    <x v="0"/>
    <n v="65"/>
    <x v="56"/>
  </r>
  <r>
    <s v="ORD1226"/>
    <x v="11"/>
    <x v="10"/>
    <x v="0"/>
    <n v="21"/>
    <x v="1"/>
    <x v="1"/>
    <x v="5"/>
    <x v="0"/>
    <x v="1"/>
    <n v="500"/>
    <x v="1"/>
    <x v="4"/>
    <x v="3"/>
    <x v="2"/>
    <x v="0"/>
    <n v="550"/>
    <x v="107"/>
  </r>
  <r>
    <s v="ORD1227"/>
    <x v="135"/>
    <x v="1"/>
    <x v="1"/>
    <n v="31"/>
    <x v="2"/>
    <x v="2"/>
    <x v="0"/>
    <x v="0"/>
    <x v="5"/>
    <n v="850"/>
    <x v="2"/>
    <x v="0"/>
    <x v="0"/>
    <x v="3"/>
    <x v="0"/>
    <n v="900"/>
    <x v="13"/>
  </r>
  <r>
    <s v="ORD1228"/>
    <x v="54"/>
    <x v="43"/>
    <x v="1"/>
    <n v="30"/>
    <x v="0"/>
    <x v="0"/>
    <x v="7"/>
    <x v="0"/>
    <x v="7"/>
    <n v="180"/>
    <x v="2"/>
    <x v="3"/>
    <x v="0"/>
    <x v="1"/>
    <x v="0"/>
    <n v="230"/>
    <x v="23"/>
  </r>
  <r>
    <s v="ORD1229"/>
    <x v="136"/>
    <x v="25"/>
    <x v="1"/>
    <n v="22"/>
    <x v="4"/>
    <x v="4"/>
    <x v="4"/>
    <x v="2"/>
    <x v="3"/>
    <n v="5"/>
    <x v="1"/>
    <x v="2"/>
    <x v="0"/>
    <x v="4"/>
    <x v="0"/>
    <n v="55"/>
    <x v="34"/>
  </r>
  <r>
    <s v="ORD1230"/>
    <x v="59"/>
    <x v="31"/>
    <x v="1"/>
    <n v="38"/>
    <x v="1"/>
    <x v="1"/>
    <x v="2"/>
    <x v="0"/>
    <x v="5"/>
    <n v="15"/>
    <x v="3"/>
    <x v="5"/>
    <x v="3"/>
    <x v="4"/>
    <x v="0"/>
    <n v="65"/>
    <x v="70"/>
  </r>
  <r>
    <s v="ORD1231"/>
    <x v="96"/>
    <x v="42"/>
    <x v="1"/>
    <n v="55"/>
    <x v="4"/>
    <x v="4"/>
    <x v="5"/>
    <x v="0"/>
    <x v="7"/>
    <n v="500"/>
    <x v="0"/>
    <x v="2"/>
    <x v="2"/>
    <x v="5"/>
    <x v="0"/>
    <n v="550"/>
    <x v="143"/>
  </r>
  <r>
    <s v="ORD1232"/>
    <x v="26"/>
    <x v="19"/>
    <x v="1"/>
    <n v="38"/>
    <x v="3"/>
    <x v="3"/>
    <x v="2"/>
    <x v="0"/>
    <x v="5"/>
    <n v="15"/>
    <x v="0"/>
    <x v="4"/>
    <x v="0"/>
    <x v="1"/>
    <x v="0"/>
    <n v="65"/>
    <x v="144"/>
  </r>
  <r>
    <s v="ORD1233"/>
    <x v="88"/>
    <x v="46"/>
    <x v="0"/>
    <n v="20"/>
    <x v="0"/>
    <x v="0"/>
    <x v="6"/>
    <x v="1"/>
    <x v="5"/>
    <n v="80"/>
    <x v="3"/>
    <x v="4"/>
    <x v="1"/>
    <x v="4"/>
    <x v="0"/>
    <n v="130"/>
    <x v="145"/>
  </r>
  <r>
    <s v="ORD1234"/>
    <x v="95"/>
    <x v="29"/>
    <x v="1"/>
    <n v="44"/>
    <x v="3"/>
    <x v="3"/>
    <x v="7"/>
    <x v="0"/>
    <x v="6"/>
    <n v="180"/>
    <x v="1"/>
    <x v="4"/>
    <x v="0"/>
    <x v="0"/>
    <x v="0"/>
    <n v="230"/>
    <x v="146"/>
  </r>
  <r>
    <s v="ORD1235"/>
    <x v="137"/>
    <x v="44"/>
    <x v="1"/>
    <n v="18"/>
    <x v="0"/>
    <x v="0"/>
    <x v="6"/>
    <x v="1"/>
    <x v="8"/>
    <n v="80"/>
    <x v="0"/>
    <x v="0"/>
    <x v="2"/>
    <x v="4"/>
    <x v="0"/>
    <n v="130"/>
    <x v="18"/>
  </r>
  <r>
    <s v="ORD1236"/>
    <x v="138"/>
    <x v="20"/>
    <x v="1"/>
    <n v="29"/>
    <x v="2"/>
    <x v="2"/>
    <x v="4"/>
    <x v="2"/>
    <x v="4"/>
    <n v="5"/>
    <x v="2"/>
    <x v="1"/>
    <x v="1"/>
    <x v="1"/>
    <x v="0"/>
    <n v="55"/>
    <x v="147"/>
  </r>
  <r>
    <s v="ORD1237"/>
    <x v="139"/>
    <x v="24"/>
    <x v="0"/>
    <n v="41"/>
    <x v="0"/>
    <x v="0"/>
    <x v="6"/>
    <x v="1"/>
    <x v="7"/>
    <n v="80"/>
    <x v="3"/>
    <x v="0"/>
    <x v="1"/>
    <x v="2"/>
    <x v="0"/>
    <n v="130"/>
    <x v="35"/>
  </r>
  <r>
    <s v="ORD1238"/>
    <x v="140"/>
    <x v="47"/>
    <x v="1"/>
    <n v="60"/>
    <x v="2"/>
    <x v="2"/>
    <x v="6"/>
    <x v="1"/>
    <x v="3"/>
    <n v="80"/>
    <x v="2"/>
    <x v="1"/>
    <x v="1"/>
    <x v="4"/>
    <x v="0"/>
    <n v="130"/>
    <x v="134"/>
  </r>
  <r>
    <s v="ORD1239"/>
    <x v="74"/>
    <x v="0"/>
    <x v="0"/>
    <n v="36"/>
    <x v="0"/>
    <x v="0"/>
    <x v="2"/>
    <x v="0"/>
    <x v="4"/>
    <n v="15"/>
    <x v="3"/>
    <x v="2"/>
    <x v="0"/>
    <x v="3"/>
    <x v="0"/>
    <n v="65"/>
    <x v="145"/>
  </r>
  <r>
    <s v="ORD1240"/>
    <x v="66"/>
    <x v="42"/>
    <x v="0"/>
    <n v="58"/>
    <x v="4"/>
    <x v="4"/>
    <x v="6"/>
    <x v="1"/>
    <x v="0"/>
    <n v="80"/>
    <x v="1"/>
    <x v="2"/>
    <x v="3"/>
    <x v="2"/>
    <x v="0"/>
    <n v="130"/>
    <x v="110"/>
  </r>
  <r>
    <s v="ORD1241"/>
    <x v="103"/>
    <x v="29"/>
    <x v="1"/>
    <n v="27"/>
    <x v="3"/>
    <x v="3"/>
    <x v="5"/>
    <x v="0"/>
    <x v="1"/>
    <n v="500"/>
    <x v="0"/>
    <x v="3"/>
    <x v="3"/>
    <x v="1"/>
    <x v="0"/>
    <n v="550"/>
    <x v="148"/>
  </r>
  <r>
    <s v="ORD1242"/>
    <x v="1"/>
    <x v="38"/>
    <x v="0"/>
    <n v="50"/>
    <x v="2"/>
    <x v="2"/>
    <x v="7"/>
    <x v="0"/>
    <x v="4"/>
    <n v="180"/>
    <x v="1"/>
    <x v="3"/>
    <x v="3"/>
    <x v="1"/>
    <x v="0"/>
    <n v="230"/>
    <x v="149"/>
  </r>
  <r>
    <s v="ORD1243"/>
    <x v="6"/>
    <x v="33"/>
    <x v="1"/>
    <n v="51"/>
    <x v="4"/>
    <x v="4"/>
    <x v="2"/>
    <x v="0"/>
    <x v="5"/>
    <n v="15"/>
    <x v="0"/>
    <x v="2"/>
    <x v="3"/>
    <x v="1"/>
    <x v="0"/>
    <n v="65"/>
    <x v="144"/>
  </r>
  <r>
    <s v="ORD1244"/>
    <x v="141"/>
    <x v="7"/>
    <x v="1"/>
    <n v="47"/>
    <x v="4"/>
    <x v="4"/>
    <x v="1"/>
    <x v="1"/>
    <x v="4"/>
    <n v="120"/>
    <x v="1"/>
    <x v="2"/>
    <x v="1"/>
    <x v="1"/>
    <x v="0"/>
    <n v="170"/>
    <x v="150"/>
  </r>
  <r>
    <s v="ORD1245"/>
    <x v="3"/>
    <x v="47"/>
    <x v="1"/>
    <n v="35"/>
    <x v="3"/>
    <x v="3"/>
    <x v="1"/>
    <x v="1"/>
    <x v="9"/>
    <n v="120"/>
    <x v="2"/>
    <x v="1"/>
    <x v="0"/>
    <x v="3"/>
    <x v="0"/>
    <n v="170"/>
    <x v="151"/>
  </r>
  <r>
    <s v="ORD1246"/>
    <x v="36"/>
    <x v="33"/>
    <x v="0"/>
    <n v="49"/>
    <x v="2"/>
    <x v="2"/>
    <x v="3"/>
    <x v="2"/>
    <x v="0"/>
    <n v="2"/>
    <x v="2"/>
    <x v="3"/>
    <x v="1"/>
    <x v="5"/>
    <x v="0"/>
    <n v="52"/>
    <x v="152"/>
  </r>
  <r>
    <s v="ORD1247"/>
    <x v="82"/>
    <x v="2"/>
    <x v="0"/>
    <n v="49"/>
    <x v="0"/>
    <x v="0"/>
    <x v="0"/>
    <x v="0"/>
    <x v="4"/>
    <n v="850"/>
    <x v="3"/>
    <x v="0"/>
    <x v="0"/>
    <x v="4"/>
    <x v="0"/>
    <n v="900"/>
    <x v="83"/>
  </r>
  <r>
    <s v="ORD1248"/>
    <x v="40"/>
    <x v="20"/>
    <x v="0"/>
    <n v="44"/>
    <x v="1"/>
    <x v="1"/>
    <x v="0"/>
    <x v="0"/>
    <x v="5"/>
    <n v="850"/>
    <x v="3"/>
    <x v="1"/>
    <x v="1"/>
    <x v="2"/>
    <x v="0"/>
    <n v="900"/>
    <x v="153"/>
  </r>
  <r>
    <s v="ORD1249"/>
    <x v="126"/>
    <x v="7"/>
    <x v="1"/>
    <n v="45"/>
    <x v="3"/>
    <x v="3"/>
    <x v="3"/>
    <x v="2"/>
    <x v="6"/>
    <n v="2"/>
    <x v="2"/>
    <x v="0"/>
    <x v="1"/>
    <x v="2"/>
    <x v="0"/>
    <n v="52"/>
    <x v="68"/>
  </r>
  <r>
    <s v="ORD1250"/>
    <x v="142"/>
    <x v="30"/>
    <x v="0"/>
    <n v="20"/>
    <x v="3"/>
    <x v="3"/>
    <x v="0"/>
    <x v="0"/>
    <x v="1"/>
    <n v="850"/>
    <x v="1"/>
    <x v="4"/>
    <x v="0"/>
    <x v="0"/>
    <x v="0"/>
    <n v="900"/>
    <x v="1"/>
  </r>
  <r>
    <s v="ORD1251"/>
    <x v="21"/>
    <x v="25"/>
    <x v="0"/>
    <n v="38"/>
    <x v="3"/>
    <x v="3"/>
    <x v="4"/>
    <x v="2"/>
    <x v="3"/>
    <n v="5"/>
    <x v="3"/>
    <x v="3"/>
    <x v="3"/>
    <x v="0"/>
    <x v="0"/>
    <n v="55"/>
    <x v="154"/>
  </r>
  <r>
    <s v="ORD1252"/>
    <x v="120"/>
    <x v="16"/>
    <x v="1"/>
    <n v="40"/>
    <x v="1"/>
    <x v="1"/>
    <x v="2"/>
    <x v="0"/>
    <x v="7"/>
    <n v="15"/>
    <x v="3"/>
    <x v="3"/>
    <x v="3"/>
    <x v="2"/>
    <x v="0"/>
    <n v="65"/>
    <x v="46"/>
  </r>
  <r>
    <s v="ORD1253"/>
    <x v="63"/>
    <x v="29"/>
    <x v="1"/>
    <n v="28"/>
    <x v="2"/>
    <x v="2"/>
    <x v="7"/>
    <x v="0"/>
    <x v="6"/>
    <n v="180"/>
    <x v="0"/>
    <x v="2"/>
    <x v="0"/>
    <x v="3"/>
    <x v="0"/>
    <n v="230"/>
    <x v="94"/>
  </r>
  <r>
    <s v="ORD1254"/>
    <x v="38"/>
    <x v="18"/>
    <x v="0"/>
    <n v="34"/>
    <x v="1"/>
    <x v="1"/>
    <x v="7"/>
    <x v="0"/>
    <x v="0"/>
    <n v="180"/>
    <x v="3"/>
    <x v="3"/>
    <x v="2"/>
    <x v="5"/>
    <x v="0"/>
    <n v="230"/>
    <x v="146"/>
  </r>
  <r>
    <s v="ORD1255"/>
    <x v="72"/>
    <x v="22"/>
    <x v="1"/>
    <n v="56"/>
    <x v="2"/>
    <x v="2"/>
    <x v="0"/>
    <x v="0"/>
    <x v="7"/>
    <n v="850"/>
    <x v="3"/>
    <x v="1"/>
    <x v="0"/>
    <x v="1"/>
    <x v="0"/>
    <n v="900"/>
    <x v="155"/>
  </r>
  <r>
    <s v="ORD1256"/>
    <x v="18"/>
    <x v="9"/>
    <x v="1"/>
    <n v="32"/>
    <x v="1"/>
    <x v="1"/>
    <x v="2"/>
    <x v="0"/>
    <x v="2"/>
    <n v="15"/>
    <x v="0"/>
    <x v="3"/>
    <x v="0"/>
    <x v="5"/>
    <x v="0"/>
    <n v="65"/>
    <x v="156"/>
  </r>
  <r>
    <s v="ORD1257"/>
    <x v="8"/>
    <x v="3"/>
    <x v="0"/>
    <n v="35"/>
    <x v="1"/>
    <x v="1"/>
    <x v="2"/>
    <x v="0"/>
    <x v="9"/>
    <n v="15"/>
    <x v="0"/>
    <x v="5"/>
    <x v="3"/>
    <x v="4"/>
    <x v="0"/>
    <n v="65"/>
    <x v="18"/>
  </r>
  <r>
    <s v="ORD1258"/>
    <x v="22"/>
    <x v="44"/>
    <x v="0"/>
    <n v="57"/>
    <x v="3"/>
    <x v="3"/>
    <x v="7"/>
    <x v="0"/>
    <x v="1"/>
    <n v="180"/>
    <x v="2"/>
    <x v="5"/>
    <x v="3"/>
    <x v="5"/>
    <x v="0"/>
    <n v="230"/>
    <x v="157"/>
  </r>
  <r>
    <s v="ORD1259"/>
    <x v="0"/>
    <x v="1"/>
    <x v="1"/>
    <n v="23"/>
    <x v="3"/>
    <x v="3"/>
    <x v="4"/>
    <x v="2"/>
    <x v="6"/>
    <n v="5"/>
    <x v="3"/>
    <x v="4"/>
    <x v="3"/>
    <x v="0"/>
    <x v="0"/>
    <n v="55"/>
    <x v="158"/>
  </r>
  <r>
    <s v="ORD1260"/>
    <x v="143"/>
    <x v="21"/>
    <x v="0"/>
    <n v="51"/>
    <x v="4"/>
    <x v="4"/>
    <x v="6"/>
    <x v="1"/>
    <x v="2"/>
    <n v="80"/>
    <x v="1"/>
    <x v="0"/>
    <x v="0"/>
    <x v="4"/>
    <x v="0"/>
    <n v="130"/>
    <x v="16"/>
  </r>
  <r>
    <s v="ORD1261"/>
    <x v="55"/>
    <x v="15"/>
    <x v="0"/>
    <n v="52"/>
    <x v="4"/>
    <x v="4"/>
    <x v="0"/>
    <x v="0"/>
    <x v="3"/>
    <n v="850"/>
    <x v="0"/>
    <x v="2"/>
    <x v="1"/>
    <x v="1"/>
    <x v="0"/>
    <n v="900"/>
    <x v="87"/>
  </r>
  <r>
    <s v="ORD1262"/>
    <x v="144"/>
    <x v="37"/>
    <x v="1"/>
    <n v="46"/>
    <x v="4"/>
    <x v="4"/>
    <x v="5"/>
    <x v="0"/>
    <x v="1"/>
    <n v="500"/>
    <x v="1"/>
    <x v="2"/>
    <x v="0"/>
    <x v="5"/>
    <x v="0"/>
    <n v="550"/>
    <x v="107"/>
  </r>
  <r>
    <s v="ORD1263"/>
    <x v="64"/>
    <x v="30"/>
    <x v="0"/>
    <n v="43"/>
    <x v="4"/>
    <x v="4"/>
    <x v="5"/>
    <x v="0"/>
    <x v="4"/>
    <n v="500"/>
    <x v="3"/>
    <x v="0"/>
    <x v="0"/>
    <x v="1"/>
    <x v="0"/>
    <n v="550"/>
    <x v="159"/>
  </r>
  <r>
    <s v="ORD1264"/>
    <x v="115"/>
    <x v="32"/>
    <x v="0"/>
    <n v="47"/>
    <x v="3"/>
    <x v="3"/>
    <x v="7"/>
    <x v="0"/>
    <x v="8"/>
    <n v="180"/>
    <x v="3"/>
    <x v="4"/>
    <x v="2"/>
    <x v="0"/>
    <x v="0"/>
    <n v="230"/>
    <x v="129"/>
  </r>
  <r>
    <s v="ORD1265"/>
    <x v="91"/>
    <x v="26"/>
    <x v="1"/>
    <n v="55"/>
    <x v="1"/>
    <x v="1"/>
    <x v="5"/>
    <x v="0"/>
    <x v="9"/>
    <n v="500"/>
    <x v="2"/>
    <x v="2"/>
    <x v="0"/>
    <x v="5"/>
    <x v="0"/>
    <n v="550"/>
    <x v="132"/>
  </r>
  <r>
    <s v="ORD1266"/>
    <x v="36"/>
    <x v="15"/>
    <x v="0"/>
    <n v="50"/>
    <x v="1"/>
    <x v="1"/>
    <x v="3"/>
    <x v="2"/>
    <x v="9"/>
    <n v="2"/>
    <x v="3"/>
    <x v="5"/>
    <x v="3"/>
    <x v="5"/>
    <x v="0"/>
    <n v="52"/>
    <x v="160"/>
  </r>
  <r>
    <s v="ORD1267"/>
    <x v="10"/>
    <x v="38"/>
    <x v="0"/>
    <n v="50"/>
    <x v="2"/>
    <x v="2"/>
    <x v="3"/>
    <x v="2"/>
    <x v="9"/>
    <n v="2"/>
    <x v="0"/>
    <x v="2"/>
    <x v="0"/>
    <x v="3"/>
    <x v="0"/>
    <n v="52"/>
    <x v="161"/>
  </r>
  <r>
    <s v="ORD1268"/>
    <x v="78"/>
    <x v="41"/>
    <x v="1"/>
    <n v="29"/>
    <x v="1"/>
    <x v="1"/>
    <x v="7"/>
    <x v="0"/>
    <x v="8"/>
    <n v="180"/>
    <x v="0"/>
    <x v="0"/>
    <x v="2"/>
    <x v="2"/>
    <x v="0"/>
    <n v="230"/>
    <x v="162"/>
  </r>
  <r>
    <s v="ORD1269"/>
    <x v="51"/>
    <x v="15"/>
    <x v="0"/>
    <n v="59"/>
    <x v="3"/>
    <x v="3"/>
    <x v="5"/>
    <x v="0"/>
    <x v="6"/>
    <n v="500"/>
    <x v="1"/>
    <x v="4"/>
    <x v="1"/>
    <x v="2"/>
    <x v="0"/>
    <n v="550"/>
    <x v="11"/>
  </r>
  <r>
    <s v="ORD1270"/>
    <x v="99"/>
    <x v="10"/>
    <x v="1"/>
    <n v="47"/>
    <x v="2"/>
    <x v="2"/>
    <x v="3"/>
    <x v="2"/>
    <x v="3"/>
    <n v="2"/>
    <x v="1"/>
    <x v="1"/>
    <x v="0"/>
    <x v="1"/>
    <x v="0"/>
    <n v="52"/>
    <x v="16"/>
  </r>
  <r>
    <s v="ORD1271"/>
    <x v="36"/>
    <x v="7"/>
    <x v="0"/>
    <n v="59"/>
    <x v="4"/>
    <x v="4"/>
    <x v="7"/>
    <x v="0"/>
    <x v="1"/>
    <n v="180"/>
    <x v="0"/>
    <x v="5"/>
    <x v="0"/>
    <x v="5"/>
    <x v="0"/>
    <n v="230"/>
    <x v="163"/>
  </r>
  <r>
    <s v="ORD1272"/>
    <x v="145"/>
    <x v="5"/>
    <x v="0"/>
    <n v="30"/>
    <x v="1"/>
    <x v="1"/>
    <x v="7"/>
    <x v="0"/>
    <x v="4"/>
    <n v="180"/>
    <x v="1"/>
    <x v="0"/>
    <x v="2"/>
    <x v="5"/>
    <x v="0"/>
    <n v="230"/>
    <x v="149"/>
  </r>
  <r>
    <s v="ORD1273"/>
    <x v="6"/>
    <x v="3"/>
    <x v="0"/>
    <n v="40"/>
    <x v="0"/>
    <x v="0"/>
    <x v="2"/>
    <x v="0"/>
    <x v="6"/>
    <n v="15"/>
    <x v="3"/>
    <x v="3"/>
    <x v="3"/>
    <x v="1"/>
    <x v="0"/>
    <n v="65"/>
    <x v="164"/>
  </r>
  <r>
    <s v="ORD1274"/>
    <x v="146"/>
    <x v="9"/>
    <x v="0"/>
    <n v="32"/>
    <x v="2"/>
    <x v="2"/>
    <x v="4"/>
    <x v="2"/>
    <x v="9"/>
    <n v="5"/>
    <x v="2"/>
    <x v="3"/>
    <x v="0"/>
    <x v="2"/>
    <x v="0"/>
    <n v="55"/>
    <x v="38"/>
  </r>
  <r>
    <s v="ORD1275"/>
    <x v="137"/>
    <x v="43"/>
    <x v="0"/>
    <n v="48"/>
    <x v="2"/>
    <x v="2"/>
    <x v="6"/>
    <x v="1"/>
    <x v="5"/>
    <n v="80"/>
    <x v="0"/>
    <x v="2"/>
    <x v="1"/>
    <x v="4"/>
    <x v="0"/>
    <n v="130"/>
    <x v="51"/>
  </r>
  <r>
    <s v="ORD1276"/>
    <x v="81"/>
    <x v="39"/>
    <x v="1"/>
    <n v="26"/>
    <x v="1"/>
    <x v="1"/>
    <x v="0"/>
    <x v="0"/>
    <x v="4"/>
    <n v="850"/>
    <x v="2"/>
    <x v="2"/>
    <x v="3"/>
    <x v="4"/>
    <x v="0"/>
    <n v="900"/>
    <x v="165"/>
  </r>
  <r>
    <s v="ORD1277"/>
    <x v="72"/>
    <x v="47"/>
    <x v="1"/>
    <n v="39"/>
    <x v="2"/>
    <x v="2"/>
    <x v="4"/>
    <x v="2"/>
    <x v="9"/>
    <n v="5"/>
    <x v="1"/>
    <x v="0"/>
    <x v="0"/>
    <x v="1"/>
    <x v="0"/>
    <n v="55"/>
    <x v="166"/>
  </r>
  <r>
    <s v="ORD1278"/>
    <x v="120"/>
    <x v="42"/>
    <x v="1"/>
    <n v="23"/>
    <x v="2"/>
    <x v="2"/>
    <x v="2"/>
    <x v="0"/>
    <x v="1"/>
    <n v="15"/>
    <x v="0"/>
    <x v="3"/>
    <x v="2"/>
    <x v="2"/>
    <x v="0"/>
    <n v="65"/>
    <x v="138"/>
  </r>
  <r>
    <s v="ORD1279"/>
    <x v="78"/>
    <x v="17"/>
    <x v="0"/>
    <n v="38"/>
    <x v="1"/>
    <x v="1"/>
    <x v="7"/>
    <x v="0"/>
    <x v="5"/>
    <n v="180"/>
    <x v="1"/>
    <x v="0"/>
    <x v="3"/>
    <x v="2"/>
    <x v="0"/>
    <n v="230"/>
    <x v="167"/>
  </r>
  <r>
    <s v="ORD1280"/>
    <x v="56"/>
    <x v="1"/>
    <x v="1"/>
    <n v="43"/>
    <x v="2"/>
    <x v="2"/>
    <x v="0"/>
    <x v="0"/>
    <x v="2"/>
    <n v="850"/>
    <x v="0"/>
    <x v="5"/>
    <x v="1"/>
    <x v="3"/>
    <x v="0"/>
    <n v="900"/>
    <x v="2"/>
  </r>
  <r>
    <s v="ORD1281"/>
    <x v="129"/>
    <x v="17"/>
    <x v="1"/>
    <n v="24"/>
    <x v="4"/>
    <x v="4"/>
    <x v="1"/>
    <x v="1"/>
    <x v="7"/>
    <n v="120"/>
    <x v="0"/>
    <x v="1"/>
    <x v="2"/>
    <x v="4"/>
    <x v="0"/>
    <n v="170"/>
    <x v="168"/>
  </r>
  <r>
    <s v="ORD1282"/>
    <x v="139"/>
    <x v="40"/>
    <x v="1"/>
    <n v="36"/>
    <x v="1"/>
    <x v="1"/>
    <x v="7"/>
    <x v="0"/>
    <x v="8"/>
    <n v="180"/>
    <x v="2"/>
    <x v="3"/>
    <x v="1"/>
    <x v="2"/>
    <x v="0"/>
    <n v="230"/>
    <x v="117"/>
  </r>
  <r>
    <s v="ORD1283"/>
    <x v="16"/>
    <x v="37"/>
    <x v="1"/>
    <n v="27"/>
    <x v="3"/>
    <x v="3"/>
    <x v="1"/>
    <x v="1"/>
    <x v="7"/>
    <n v="120"/>
    <x v="1"/>
    <x v="5"/>
    <x v="1"/>
    <x v="3"/>
    <x v="0"/>
    <n v="170"/>
    <x v="169"/>
  </r>
  <r>
    <s v="ORD1284"/>
    <x v="129"/>
    <x v="9"/>
    <x v="0"/>
    <n v="31"/>
    <x v="1"/>
    <x v="1"/>
    <x v="3"/>
    <x v="2"/>
    <x v="4"/>
    <n v="2"/>
    <x v="1"/>
    <x v="4"/>
    <x v="1"/>
    <x v="4"/>
    <x v="0"/>
    <n v="52"/>
    <x v="170"/>
  </r>
  <r>
    <s v="ORD1285"/>
    <x v="92"/>
    <x v="46"/>
    <x v="0"/>
    <n v="60"/>
    <x v="2"/>
    <x v="2"/>
    <x v="2"/>
    <x v="0"/>
    <x v="9"/>
    <n v="15"/>
    <x v="3"/>
    <x v="4"/>
    <x v="2"/>
    <x v="2"/>
    <x v="0"/>
    <n v="65"/>
    <x v="78"/>
  </r>
  <r>
    <s v="ORD1286"/>
    <x v="17"/>
    <x v="15"/>
    <x v="0"/>
    <n v="54"/>
    <x v="4"/>
    <x v="4"/>
    <x v="4"/>
    <x v="2"/>
    <x v="6"/>
    <n v="5"/>
    <x v="3"/>
    <x v="5"/>
    <x v="1"/>
    <x v="3"/>
    <x v="0"/>
    <n v="55"/>
    <x v="158"/>
  </r>
  <r>
    <s v="ORD1287"/>
    <x v="128"/>
    <x v="7"/>
    <x v="1"/>
    <n v="27"/>
    <x v="0"/>
    <x v="0"/>
    <x v="4"/>
    <x v="2"/>
    <x v="3"/>
    <n v="5"/>
    <x v="3"/>
    <x v="4"/>
    <x v="2"/>
    <x v="1"/>
    <x v="0"/>
    <n v="55"/>
    <x v="154"/>
  </r>
  <r>
    <s v="ORD1288"/>
    <x v="101"/>
    <x v="47"/>
    <x v="0"/>
    <n v="59"/>
    <x v="4"/>
    <x v="4"/>
    <x v="3"/>
    <x v="2"/>
    <x v="8"/>
    <n v="2"/>
    <x v="1"/>
    <x v="5"/>
    <x v="3"/>
    <x v="3"/>
    <x v="0"/>
    <n v="52"/>
    <x v="171"/>
  </r>
  <r>
    <s v="ORD1289"/>
    <x v="109"/>
    <x v="30"/>
    <x v="1"/>
    <n v="37"/>
    <x v="1"/>
    <x v="1"/>
    <x v="5"/>
    <x v="0"/>
    <x v="1"/>
    <n v="500"/>
    <x v="0"/>
    <x v="1"/>
    <x v="2"/>
    <x v="1"/>
    <x v="0"/>
    <n v="550"/>
    <x v="148"/>
  </r>
  <r>
    <s v="ORD1290"/>
    <x v="85"/>
    <x v="17"/>
    <x v="0"/>
    <n v="36"/>
    <x v="1"/>
    <x v="1"/>
    <x v="0"/>
    <x v="0"/>
    <x v="0"/>
    <n v="850"/>
    <x v="3"/>
    <x v="5"/>
    <x v="3"/>
    <x v="3"/>
    <x v="0"/>
    <n v="900"/>
    <x v="172"/>
  </r>
  <r>
    <s v="ORD1291"/>
    <x v="41"/>
    <x v="21"/>
    <x v="0"/>
    <n v="23"/>
    <x v="3"/>
    <x v="3"/>
    <x v="0"/>
    <x v="0"/>
    <x v="0"/>
    <n v="850"/>
    <x v="1"/>
    <x v="0"/>
    <x v="2"/>
    <x v="4"/>
    <x v="0"/>
    <n v="900"/>
    <x v="173"/>
  </r>
  <r>
    <s v="ORD1292"/>
    <x v="8"/>
    <x v="17"/>
    <x v="0"/>
    <n v="57"/>
    <x v="4"/>
    <x v="4"/>
    <x v="2"/>
    <x v="0"/>
    <x v="0"/>
    <n v="15"/>
    <x v="1"/>
    <x v="2"/>
    <x v="3"/>
    <x v="4"/>
    <x v="0"/>
    <n v="65"/>
    <x v="174"/>
  </r>
  <r>
    <s v="ORD1293"/>
    <x v="4"/>
    <x v="35"/>
    <x v="1"/>
    <n v="43"/>
    <x v="1"/>
    <x v="1"/>
    <x v="0"/>
    <x v="0"/>
    <x v="6"/>
    <n v="850"/>
    <x v="0"/>
    <x v="3"/>
    <x v="2"/>
    <x v="1"/>
    <x v="0"/>
    <n v="900"/>
    <x v="97"/>
  </r>
  <r>
    <s v="ORD1294"/>
    <x v="147"/>
    <x v="31"/>
    <x v="1"/>
    <n v="23"/>
    <x v="0"/>
    <x v="0"/>
    <x v="5"/>
    <x v="0"/>
    <x v="8"/>
    <n v="500"/>
    <x v="0"/>
    <x v="0"/>
    <x v="2"/>
    <x v="0"/>
    <x v="0"/>
    <n v="550"/>
    <x v="175"/>
  </r>
  <r>
    <s v="ORD1295"/>
    <x v="51"/>
    <x v="31"/>
    <x v="1"/>
    <n v="59"/>
    <x v="2"/>
    <x v="2"/>
    <x v="6"/>
    <x v="1"/>
    <x v="9"/>
    <n v="80"/>
    <x v="0"/>
    <x v="5"/>
    <x v="3"/>
    <x v="2"/>
    <x v="0"/>
    <n v="130"/>
    <x v="81"/>
  </r>
  <r>
    <s v="ORD1296"/>
    <x v="78"/>
    <x v="30"/>
    <x v="0"/>
    <n v="45"/>
    <x v="3"/>
    <x v="3"/>
    <x v="1"/>
    <x v="1"/>
    <x v="7"/>
    <n v="120"/>
    <x v="3"/>
    <x v="4"/>
    <x v="2"/>
    <x v="2"/>
    <x v="0"/>
    <n v="170"/>
    <x v="14"/>
  </r>
  <r>
    <s v="ORD1297"/>
    <x v="54"/>
    <x v="15"/>
    <x v="1"/>
    <n v="48"/>
    <x v="0"/>
    <x v="0"/>
    <x v="1"/>
    <x v="1"/>
    <x v="2"/>
    <n v="120"/>
    <x v="1"/>
    <x v="0"/>
    <x v="3"/>
    <x v="1"/>
    <x v="0"/>
    <n v="170"/>
    <x v="57"/>
  </r>
  <r>
    <s v="ORD1298"/>
    <x v="148"/>
    <x v="40"/>
    <x v="0"/>
    <n v="51"/>
    <x v="3"/>
    <x v="3"/>
    <x v="5"/>
    <x v="0"/>
    <x v="3"/>
    <n v="500"/>
    <x v="2"/>
    <x v="1"/>
    <x v="3"/>
    <x v="3"/>
    <x v="0"/>
    <n v="550"/>
    <x v="176"/>
  </r>
  <r>
    <s v="ORD1299"/>
    <x v="89"/>
    <x v="8"/>
    <x v="0"/>
    <n v="37"/>
    <x v="2"/>
    <x v="2"/>
    <x v="4"/>
    <x v="2"/>
    <x v="5"/>
    <n v="5"/>
    <x v="1"/>
    <x v="1"/>
    <x v="2"/>
    <x v="1"/>
    <x v="0"/>
    <n v="55"/>
    <x v="42"/>
  </r>
  <r>
    <s v="ORD1300"/>
    <x v="145"/>
    <x v="1"/>
    <x v="0"/>
    <n v="58"/>
    <x v="4"/>
    <x v="4"/>
    <x v="6"/>
    <x v="1"/>
    <x v="8"/>
    <n v="80"/>
    <x v="0"/>
    <x v="1"/>
    <x v="3"/>
    <x v="5"/>
    <x v="0"/>
    <n v="130"/>
    <x v="18"/>
  </r>
  <r>
    <s v="ORD1301"/>
    <x v="31"/>
    <x v="6"/>
    <x v="1"/>
    <n v="34"/>
    <x v="2"/>
    <x v="2"/>
    <x v="7"/>
    <x v="0"/>
    <x v="7"/>
    <n v="180"/>
    <x v="0"/>
    <x v="2"/>
    <x v="0"/>
    <x v="3"/>
    <x v="0"/>
    <n v="230"/>
    <x v="48"/>
  </r>
  <r>
    <s v="ORD1302"/>
    <x v="117"/>
    <x v="5"/>
    <x v="0"/>
    <n v="32"/>
    <x v="4"/>
    <x v="4"/>
    <x v="6"/>
    <x v="1"/>
    <x v="4"/>
    <n v="80"/>
    <x v="3"/>
    <x v="4"/>
    <x v="3"/>
    <x v="0"/>
    <x v="0"/>
    <n v="130"/>
    <x v="177"/>
  </r>
  <r>
    <s v="ORD1303"/>
    <x v="97"/>
    <x v="39"/>
    <x v="1"/>
    <n v="32"/>
    <x v="1"/>
    <x v="1"/>
    <x v="5"/>
    <x v="0"/>
    <x v="1"/>
    <n v="500"/>
    <x v="1"/>
    <x v="4"/>
    <x v="1"/>
    <x v="3"/>
    <x v="0"/>
    <n v="550"/>
    <x v="107"/>
  </r>
  <r>
    <s v="ORD1304"/>
    <x v="47"/>
    <x v="22"/>
    <x v="0"/>
    <n v="34"/>
    <x v="1"/>
    <x v="1"/>
    <x v="0"/>
    <x v="0"/>
    <x v="5"/>
    <n v="850"/>
    <x v="3"/>
    <x v="4"/>
    <x v="1"/>
    <x v="5"/>
    <x v="0"/>
    <n v="900"/>
    <x v="153"/>
  </r>
  <r>
    <s v="ORD1305"/>
    <x v="85"/>
    <x v="7"/>
    <x v="1"/>
    <n v="40"/>
    <x v="0"/>
    <x v="0"/>
    <x v="3"/>
    <x v="2"/>
    <x v="1"/>
    <n v="2"/>
    <x v="3"/>
    <x v="3"/>
    <x v="1"/>
    <x v="3"/>
    <x v="0"/>
    <n v="52"/>
    <x v="178"/>
  </r>
  <r>
    <s v="ORD1306"/>
    <x v="60"/>
    <x v="13"/>
    <x v="0"/>
    <n v="19"/>
    <x v="1"/>
    <x v="1"/>
    <x v="4"/>
    <x v="2"/>
    <x v="2"/>
    <n v="5"/>
    <x v="0"/>
    <x v="3"/>
    <x v="3"/>
    <x v="3"/>
    <x v="0"/>
    <n v="55"/>
    <x v="179"/>
  </r>
  <r>
    <s v="ORD1307"/>
    <x v="141"/>
    <x v="41"/>
    <x v="1"/>
    <n v="31"/>
    <x v="3"/>
    <x v="3"/>
    <x v="0"/>
    <x v="0"/>
    <x v="1"/>
    <n v="850"/>
    <x v="2"/>
    <x v="2"/>
    <x v="0"/>
    <x v="1"/>
    <x v="0"/>
    <n v="900"/>
    <x v="180"/>
  </r>
  <r>
    <s v="ORD1308"/>
    <x v="39"/>
    <x v="24"/>
    <x v="1"/>
    <n v="48"/>
    <x v="1"/>
    <x v="1"/>
    <x v="7"/>
    <x v="0"/>
    <x v="4"/>
    <n v="180"/>
    <x v="1"/>
    <x v="0"/>
    <x v="0"/>
    <x v="0"/>
    <x v="0"/>
    <n v="230"/>
    <x v="149"/>
  </r>
  <r>
    <s v="ORD1309"/>
    <x v="133"/>
    <x v="15"/>
    <x v="1"/>
    <n v="33"/>
    <x v="3"/>
    <x v="3"/>
    <x v="6"/>
    <x v="1"/>
    <x v="6"/>
    <n v="80"/>
    <x v="0"/>
    <x v="4"/>
    <x v="0"/>
    <x v="5"/>
    <x v="0"/>
    <n v="130"/>
    <x v="181"/>
  </r>
  <r>
    <s v="ORD1310"/>
    <x v="56"/>
    <x v="29"/>
    <x v="1"/>
    <n v="36"/>
    <x v="3"/>
    <x v="3"/>
    <x v="0"/>
    <x v="0"/>
    <x v="3"/>
    <n v="850"/>
    <x v="1"/>
    <x v="3"/>
    <x v="2"/>
    <x v="3"/>
    <x v="0"/>
    <n v="900"/>
    <x v="20"/>
  </r>
  <r>
    <s v="ORD1311"/>
    <x v="92"/>
    <x v="33"/>
    <x v="1"/>
    <n v="18"/>
    <x v="3"/>
    <x v="3"/>
    <x v="3"/>
    <x v="2"/>
    <x v="2"/>
    <n v="2"/>
    <x v="0"/>
    <x v="1"/>
    <x v="0"/>
    <x v="2"/>
    <x v="0"/>
    <n v="52"/>
    <x v="118"/>
  </r>
  <r>
    <s v="ORD1312"/>
    <x v="149"/>
    <x v="39"/>
    <x v="1"/>
    <n v="23"/>
    <x v="3"/>
    <x v="3"/>
    <x v="3"/>
    <x v="2"/>
    <x v="3"/>
    <n v="2"/>
    <x v="1"/>
    <x v="2"/>
    <x v="2"/>
    <x v="4"/>
    <x v="0"/>
    <n v="52"/>
    <x v="16"/>
  </r>
  <r>
    <s v="ORD1313"/>
    <x v="150"/>
    <x v="41"/>
    <x v="0"/>
    <n v="20"/>
    <x v="2"/>
    <x v="2"/>
    <x v="4"/>
    <x v="2"/>
    <x v="5"/>
    <n v="5"/>
    <x v="2"/>
    <x v="5"/>
    <x v="0"/>
    <x v="5"/>
    <x v="0"/>
    <n v="55"/>
    <x v="26"/>
  </r>
  <r>
    <s v="ORD1314"/>
    <x v="83"/>
    <x v="7"/>
    <x v="0"/>
    <n v="43"/>
    <x v="3"/>
    <x v="3"/>
    <x v="2"/>
    <x v="0"/>
    <x v="4"/>
    <n v="15"/>
    <x v="3"/>
    <x v="2"/>
    <x v="0"/>
    <x v="1"/>
    <x v="0"/>
    <n v="65"/>
    <x v="145"/>
  </r>
  <r>
    <s v="ORD1315"/>
    <x v="62"/>
    <x v="21"/>
    <x v="1"/>
    <n v="46"/>
    <x v="0"/>
    <x v="0"/>
    <x v="0"/>
    <x v="0"/>
    <x v="3"/>
    <n v="850"/>
    <x v="2"/>
    <x v="3"/>
    <x v="3"/>
    <x v="2"/>
    <x v="0"/>
    <n v="900"/>
    <x v="128"/>
  </r>
  <r>
    <s v="ORD1316"/>
    <x v="46"/>
    <x v="38"/>
    <x v="1"/>
    <n v="50"/>
    <x v="0"/>
    <x v="0"/>
    <x v="4"/>
    <x v="2"/>
    <x v="7"/>
    <n v="5"/>
    <x v="2"/>
    <x v="3"/>
    <x v="2"/>
    <x v="3"/>
    <x v="0"/>
    <n v="55"/>
    <x v="182"/>
  </r>
  <r>
    <s v="ORD1317"/>
    <x v="34"/>
    <x v="16"/>
    <x v="0"/>
    <n v="59"/>
    <x v="2"/>
    <x v="2"/>
    <x v="5"/>
    <x v="0"/>
    <x v="3"/>
    <n v="500"/>
    <x v="2"/>
    <x v="3"/>
    <x v="3"/>
    <x v="3"/>
    <x v="0"/>
    <n v="550"/>
    <x v="176"/>
  </r>
  <r>
    <s v="ORD1318"/>
    <x v="43"/>
    <x v="18"/>
    <x v="0"/>
    <n v="43"/>
    <x v="2"/>
    <x v="2"/>
    <x v="5"/>
    <x v="0"/>
    <x v="1"/>
    <n v="500"/>
    <x v="0"/>
    <x v="0"/>
    <x v="2"/>
    <x v="0"/>
    <x v="0"/>
    <n v="550"/>
    <x v="148"/>
  </r>
  <r>
    <s v="ORD1319"/>
    <x v="151"/>
    <x v="19"/>
    <x v="1"/>
    <n v="46"/>
    <x v="4"/>
    <x v="4"/>
    <x v="0"/>
    <x v="0"/>
    <x v="5"/>
    <n v="850"/>
    <x v="0"/>
    <x v="2"/>
    <x v="0"/>
    <x v="0"/>
    <x v="0"/>
    <n v="900"/>
    <x v="69"/>
  </r>
  <r>
    <s v="ORD1320"/>
    <x v="0"/>
    <x v="6"/>
    <x v="1"/>
    <n v="34"/>
    <x v="4"/>
    <x v="4"/>
    <x v="5"/>
    <x v="0"/>
    <x v="0"/>
    <n v="500"/>
    <x v="2"/>
    <x v="2"/>
    <x v="0"/>
    <x v="0"/>
    <x v="0"/>
    <n v="550"/>
    <x v="105"/>
  </r>
  <r>
    <s v="ORD1321"/>
    <x v="5"/>
    <x v="43"/>
    <x v="1"/>
    <n v="33"/>
    <x v="1"/>
    <x v="1"/>
    <x v="1"/>
    <x v="1"/>
    <x v="3"/>
    <n v="120"/>
    <x v="2"/>
    <x v="1"/>
    <x v="2"/>
    <x v="4"/>
    <x v="0"/>
    <n v="170"/>
    <x v="4"/>
  </r>
  <r>
    <s v="ORD1322"/>
    <x v="152"/>
    <x v="37"/>
    <x v="1"/>
    <n v="23"/>
    <x v="1"/>
    <x v="1"/>
    <x v="0"/>
    <x v="0"/>
    <x v="0"/>
    <n v="850"/>
    <x v="0"/>
    <x v="2"/>
    <x v="3"/>
    <x v="4"/>
    <x v="0"/>
    <n v="900"/>
    <x v="0"/>
  </r>
  <r>
    <s v="ORD1323"/>
    <x v="153"/>
    <x v="28"/>
    <x v="1"/>
    <n v="20"/>
    <x v="0"/>
    <x v="0"/>
    <x v="3"/>
    <x v="2"/>
    <x v="9"/>
    <n v="2"/>
    <x v="0"/>
    <x v="2"/>
    <x v="3"/>
    <x v="2"/>
    <x v="0"/>
    <n v="52"/>
    <x v="161"/>
  </r>
  <r>
    <s v="ORD1324"/>
    <x v="92"/>
    <x v="22"/>
    <x v="0"/>
    <n v="58"/>
    <x v="2"/>
    <x v="2"/>
    <x v="4"/>
    <x v="2"/>
    <x v="6"/>
    <n v="5"/>
    <x v="3"/>
    <x v="1"/>
    <x v="3"/>
    <x v="2"/>
    <x v="0"/>
    <n v="55"/>
    <x v="158"/>
  </r>
  <r>
    <s v="ORD1325"/>
    <x v="14"/>
    <x v="10"/>
    <x v="1"/>
    <n v="42"/>
    <x v="4"/>
    <x v="4"/>
    <x v="0"/>
    <x v="0"/>
    <x v="6"/>
    <n v="850"/>
    <x v="0"/>
    <x v="4"/>
    <x v="2"/>
    <x v="1"/>
    <x v="0"/>
    <n v="900"/>
    <x v="97"/>
  </r>
  <r>
    <s v="ORD1326"/>
    <x v="78"/>
    <x v="36"/>
    <x v="0"/>
    <n v="52"/>
    <x v="4"/>
    <x v="4"/>
    <x v="3"/>
    <x v="2"/>
    <x v="4"/>
    <n v="2"/>
    <x v="3"/>
    <x v="4"/>
    <x v="0"/>
    <x v="2"/>
    <x v="0"/>
    <n v="52"/>
    <x v="58"/>
  </r>
  <r>
    <s v="ORD1327"/>
    <x v="82"/>
    <x v="6"/>
    <x v="1"/>
    <n v="33"/>
    <x v="0"/>
    <x v="0"/>
    <x v="2"/>
    <x v="0"/>
    <x v="8"/>
    <n v="15"/>
    <x v="1"/>
    <x v="0"/>
    <x v="3"/>
    <x v="4"/>
    <x v="0"/>
    <n v="65"/>
    <x v="16"/>
  </r>
  <r>
    <s v="ORD1328"/>
    <x v="141"/>
    <x v="4"/>
    <x v="0"/>
    <n v="52"/>
    <x v="2"/>
    <x v="2"/>
    <x v="6"/>
    <x v="1"/>
    <x v="2"/>
    <n v="80"/>
    <x v="0"/>
    <x v="2"/>
    <x v="3"/>
    <x v="1"/>
    <x v="0"/>
    <n v="130"/>
    <x v="33"/>
  </r>
  <r>
    <s v="ORD1329"/>
    <x v="154"/>
    <x v="47"/>
    <x v="0"/>
    <n v="27"/>
    <x v="2"/>
    <x v="2"/>
    <x v="0"/>
    <x v="0"/>
    <x v="4"/>
    <n v="850"/>
    <x v="2"/>
    <x v="3"/>
    <x v="0"/>
    <x v="5"/>
    <x v="0"/>
    <n v="900"/>
    <x v="165"/>
  </r>
  <r>
    <s v="ORD1330"/>
    <x v="95"/>
    <x v="3"/>
    <x v="1"/>
    <n v="38"/>
    <x v="0"/>
    <x v="0"/>
    <x v="6"/>
    <x v="1"/>
    <x v="6"/>
    <n v="80"/>
    <x v="3"/>
    <x v="3"/>
    <x v="3"/>
    <x v="0"/>
    <x v="0"/>
    <n v="130"/>
    <x v="183"/>
  </r>
  <r>
    <s v="ORD1331"/>
    <x v="49"/>
    <x v="24"/>
    <x v="1"/>
    <n v="57"/>
    <x v="4"/>
    <x v="4"/>
    <x v="1"/>
    <x v="1"/>
    <x v="5"/>
    <n v="120"/>
    <x v="3"/>
    <x v="2"/>
    <x v="0"/>
    <x v="0"/>
    <x v="0"/>
    <n v="170"/>
    <x v="184"/>
  </r>
  <r>
    <s v="ORD1332"/>
    <x v="108"/>
    <x v="21"/>
    <x v="1"/>
    <n v="44"/>
    <x v="2"/>
    <x v="2"/>
    <x v="0"/>
    <x v="0"/>
    <x v="1"/>
    <n v="850"/>
    <x v="1"/>
    <x v="0"/>
    <x v="3"/>
    <x v="2"/>
    <x v="0"/>
    <n v="900"/>
    <x v="1"/>
  </r>
  <r>
    <s v="ORD1333"/>
    <x v="155"/>
    <x v="17"/>
    <x v="0"/>
    <n v="25"/>
    <x v="0"/>
    <x v="0"/>
    <x v="4"/>
    <x v="2"/>
    <x v="2"/>
    <n v="5"/>
    <x v="1"/>
    <x v="4"/>
    <x v="0"/>
    <x v="5"/>
    <x v="0"/>
    <n v="55"/>
    <x v="67"/>
  </r>
  <r>
    <s v="ORD1334"/>
    <x v="141"/>
    <x v="15"/>
    <x v="1"/>
    <n v="59"/>
    <x v="4"/>
    <x v="4"/>
    <x v="0"/>
    <x v="0"/>
    <x v="1"/>
    <n v="850"/>
    <x v="2"/>
    <x v="3"/>
    <x v="3"/>
    <x v="1"/>
    <x v="0"/>
    <n v="900"/>
    <x v="180"/>
  </r>
  <r>
    <s v="ORD1335"/>
    <x v="156"/>
    <x v="13"/>
    <x v="0"/>
    <n v="19"/>
    <x v="3"/>
    <x v="3"/>
    <x v="6"/>
    <x v="1"/>
    <x v="2"/>
    <n v="80"/>
    <x v="3"/>
    <x v="5"/>
    <x v="3"/>
    <x v="5"/>
    <x v="0"/>
    <n v="130"/>
    <x v="56"/>
  </r>
  <r>
    <s v="ORD1336"/>
    <x v="157"/>
    <x v="29"/>
    <x v="1"/>
    <n v="58"/>
    <x v="2"/>
    <x v="2"/>
    <x v="3"/>
    <x v="2"/>
    <x v="5"/>
    <n v="2"/>
    <x v="1"/>
    <x v="1"/>
    <x v="3"/>
    <x v="4"/>
    <x v="0"/>
    <n v="52"/>
    <x v="91"/>
  </r>
  <r>
    <s v="ORD1337"/>
    <x v="144"/>
    <x v="12"/>
    <x v="1"/>
    <n v="50"/>
    <x v="0"/>
    <x v="0"/>
    <x v="2"/>
    <x v="0"/>
    <x v="0"/>
    <n v="15"/>
    <x v="3"/>
    <x v="4"/>
    <x v="2"/>
    <x v="5"/>
    <x v="0"/>
    <n v="65"/>
    <x v="93"/>
  </r>
  <r>
    <s v="ORD1338"/>
    <x v="125"/>
    <x v="8"/>
    <x v="0"/>
    <n v="29"/>
    <x v="3"/>
    <x v="3"/>
    <x v="2"/>
    <x v="0"/>
    <x v="6"/>
    <n v="15"/>
    <x v="3"/>
    <x v="2"/>
    <x v="3"/>
    <x v="3"/>
    <x v="0"/>
    <n v="65"/>
    <x v="164"/>
  </r>
  <r>
    <s v="ORD1339"/>
    <x v="85"/>
    <x v="40"/>
    <x v="1"/>
    <n v="47"/>
    <x v="2"/>
    <x v="2"/>
    <x v="2"/>
    <x v="0"/>
    <x v="5"/>
    <n v="15"/>
    <x v="0"/>
    <x v="5"/>
    <x v="2"/>
    <x v="3"/>
    <x v="0"/>
    <n v="65"/>
    <x v="144"/>
  </r>
  <r>
    <s v="ORD1340"/>
    <x v="95"/>
    <x v="11"/>
    <x v="0"/>
    <n v="36"/>
    <x v="2"/>
    <x v="2"/>
    <x v="3"/>
    <x v="2"/>
    <x v="4"/>
    <n v="2"/>
    <x v="0"/>
    <x v="2"/>
    <x v="0"/>
    <x v="0"/>
    <x v="0"/>
    <n v="52"/>
    <x v="185"/>
  </r>
  <r>
    <s v="ORD1341"/>
    <x v="158"/>
    <x v="46"/>
    <x v="0"/>
    <n v="59"/>
    <x v="3"/>
    <x v="3"/>
    <x v="2"/>
    <x v="0"/>
    <x v="2"/>
    <n v="15"/>
    <x v="0"/>
    <x v="1"/>
    <x v="0"/>
    <x v="5"/>
    <x v="0"/>
    <n v="65"/>
    <x v="156"/>
  </r>
  <r>
    <s v="ORD1342"/>
    <x v="38"/>
    <x v="7"/>
    <x v="1"/>
    <n v="34"/>
    <x v="0"/>
    <x v="0"/>
    <x v="6"/>
    <x v="1"/>
    <x v="4"/>
    <n v="80"/>
    <x v="0"/>
    <x v="5"/>
    <x v="1"/>
    <x v="5"/>
    <x v="0"/>
    <n v="130"/>
    <x v="186"/>
  </r>
  <r>
    <s v="ORD1343"/>
    <x v="132"/>
    <x v="29"/>
    <x v="0"/>
    <n v="34"/>
    <x v="4"/>
    <x v="4"/>
    <x v="7"/>
    <x v="0"/>
    <x v="4"/>
    <n v="180"/>
    <x v="3"/>
    <x v="2"/>
    <x v="2"/>
    <x v="1"/>
    <x v="0"/>
    <n v="230"/>
    <x v="62"/>
  </r>
  <r>
    <s v="ORD1344"/>
    <x v="159"/>
    <x v="23"/>
    <x v="1"/>
    <n v="56"/>
    <x v="0"/>
    <x v="0"/>
    <x v="3"/>
    <x v="2"/>
    <x v="7"/>
    <n v="2"/>
    <x v="1"/>
    <x v="5"/>
    <x v="0"/>
    <x v="4"/>
    <x v="0"/>
    <n v="52"/>
    <x v="187"/>
  </r>
  <r>
    <s v="ORD1345"/>
    <x v="85"/>
    <x v="17"/>
    <x v="0"/>
    <n v="52"/>
    <x v="2"/>
    <x v="2"/>
    <x v="3"/>
    <x v="2"/>
    <x v="9"/>
    <n v="2"/>
    <x v="3"/>
    <x v="1"/>
    <x v="0"/>
    <x v="3"/>
    <x v="0"/>
    <n v="52"/>
    <x v="160"/>
  </r>
  <r>
    <s v="ORD1346"/>
    <x v="99"/>
    <x v="20"/>
    <x v="0"/>
    <n v="50"/>
    <x v="0"/>
    <x v="0"/>
    <x v="0"/>
    <x v="0"/>
    <x v="4"/>
    <n v="850"/>
    <x v="3"/>
    <x v="2"/>
    <x v="3"/>
    <x v="1"/>
    <x v="0"/>
    <n v="900"/>
    <x v="83"/>
  </r>
  <r>
    <s v="ORD1347"/>
    <x v="3"/>
    <x v="7"/>
    <x v="0"/>
    <n v="24"/>
    <x v="1"/>
    <x v="1"/>
    <x v="7"/>
    <x v="0"/>
    <x v="4"/>
    <n v="180"/>
    <x v="3"/>
    <x v="2"/>
    <x v="3"/>
    <x v="3"/>
    <x v="0"/>
    <n v="230"/>
    <x v="62"/>
  </r>
  <r>
    <s v="ORD1348"/>
    <x v="16"/>
    <x v="36"/>
    <x v="1"/>
    <n v="51"/>
    <x v="1"/>
    <x v="1"/>
    <x v="1"/>
    <x v="1"/>
    <x v="1"/>
    <n v="120"/>
    <x v="0"/>
    <x v="1"/>
    <x v="3"/>
    <x v="3"/>
    <x v="0"/>
    <n v="170"/>
    <x v="135"/>
  </r>
  <r>
    <s v="ORD1349"/>
    <x v="154"/>
    <x v="21"/>
    <x v="1"/>
    <n v="25"/>
    <x v="0"/>
    <x v="0"/>
    <x v="4"/>
    <x v="2"/>
    <x v="7"/>
    <n v="5"/>
    <x v="3"/>
    <x v="0"/>
    <x v="2"/>
    <x v="5"/>
    <x v="0"/>
    <n v="55"/>
    <x v="85"/>
  </r>
  <r>
    <s v="ORD1350"/>
    <x v="8"/>
    <x v="0"/>
    <x v="0"/>
    <n v="39"/>
    <x v="2"/>
    <x v="2"/>
    <x v="5"/>
    <x v="0"/>
    <x v="9"/>
    <n v="500"/>
    <x v="2"/>
    <x v="4"/>
    <x v="1"/>
    <x v="4"/>
    <x v="0"/>
    <n v="550"/>
    <x v="132"/>
  </r>
  <r>
    <s v="ORD1351"/>
    <x v="97"/>
    <x v="32"/>
    <x v="1"/>
    <n v="19"/>
    <x v="0"/>
    <x v="0"/>
    <x v="3"/>
    <x v="2"/>
    <x v="1"/>
    <n v="2"/>
    <x v="0"/>
    <x v="5"/>
    <x v="0"/>
    <x v="3"/>
    <x v="0"/>
    <n v="52"/>
    <x v="188"/>
  </r>
  <r>
    <s v="ORD1352"/>
    <x v="28"/>
    <x v="42"/>
    <x v="0"/>
    <n v="36"/>
    <x v="3"/>
    <x v="3"/>
    <x v="7"/>
    <x v="0"/>
    <x v="4"/>
    <n v="180"/>
    <x v="0"/>
    <x v="3"/>
    <x v="1"/>
    <x v="0"/>
    <x v="0"/>
    <n v="230"/>
    <x v="108"/>
  </r>
  <r>
    <s v="ORD1353"/>
    <x v="64"/>
    <x v="17"/>
    <x v="0"/>
    <n v="59"/>
    <x v="3"/>
    <x v="3"/>
    <x v="1"/>
    <x v="1"/>
    <x v="5"/>
    <n v="120"/>
    <x v="1"/>
    <x v="2"/>
    <x v="1"/>
    <x v="1"/>
    <x v="0"/>
    <n v="170"/>
    <x v="39"/>
  </r>
  <r>
    <s v="ORD1354"/>
    <x v="54"/>
    <x v="34"/>
    <x v="1"/>
    <n v="37"/>
    <x v="4"/>
    <x v="4"/>
    <x v="3"/>
    <x v="2"/>
    <x v="3"/>
    <n v="2"/>
    <x v="2"/>
    <x v="4"/>
    <x v="2"/>
    <x v="1"/>
    <x v="0"/>
    <n v="52"/>
    <x v="15"/>
  </r>
  <r>
    <s v="ORD1355"/>
    <x v="157"/>
    <x v="42"/>
    <x v="1"/>
    <n v="48"/>
    <x v="3"/>
    <x v="3"/>
    <x v="5"/>
    <x v="0"/>
    <x v="8"/>
    <n v="500"/>
    <x v="3"/>
    <x v="2"/>
    <x v="1"/>
    <x v="4"/>
    <x v="0"/>
    <n v="550"/>
    <x v="116"/>
  </r>
  <r>
    <s v="ORD1356"/>
    <x v="114"/>
    <x v="24"/>
    <x v="0"/>
    <n v="37"/>
    <x v="2"/>
    <x v="2"/>
    <x v="7"/>
    <x v="0"/>
    <x v="4"/>
    <n v="180"/>
    <x v="0"/>
    <x v="5"/>
    <x v="1"/>
    <x v="3"/>
    <x v="0"/>
    <n v="230"/>
    <x v="108"/>
  </r>
  <r>
    <s v="ORD1357"/>
    <x v="160"/>
    <x v="20"/>
    <x v="0"/>
    <n v="28"/>
    <x v="2"/>
    <x v="2"/>
    <x v="1"/>
    <x v="1"/>
    <x v="1"/>
    <n v="120"/>
    <x v="0"/>
    <x v="2"/>
    <x v="1"/>
    <x v="5"/>
    <x v="0"/>
    <n v="170"/>
    <x v="135"/>
  </r>
  <r>
    <s v="ORD1358"/>
    <x v="161"/>
    <x v="6"/>
    <x v="0"/>
    <n v="32"/>
    <x v="2"/>
    <x v="2"/>
    <x v="2"/>
    <x v="0"/>
    <x v="4"/>
    <n v="15"/>
    <x v="1"/>
    <x v="5"/>
    <x v="3"/>
    <x v="2"/>
    <x v="0"/>
    <n v="65"/>
    <x v="189"/>
  </r>
  <r>
    <s v="ORD1359"/>
    <x v="1"/>
    <x v="38"/>
    <x v="1"/>
    <n v="56"/>
    <x v="2"/>
    <x v="2"/>
    <x v="2"/>
    <x v="0"/>
    <x v="4"/>
    <n v="15"/>
    <x v="0"/>
    <x v="1"/>
    <x v="1"/>
    <x v="1"/>
    <x v="0"/>
    <n v="65"/>
    <x v="51"/>
  </r>
  <r>
    <s v="ORD1360"/>
    <x v="23"/>
    <x v="7"/>
    <x v="0"/>
    <n v="57"/>
    <x v="3"/>
    <x v="3"/>
    <x v="3"/>
    <x v="2"/>
    <x v="6"/>
    <n v="2"/>
    <x v="3"/>
    <x v="3"/>
    <x v="0"/>
    <x v="5"/>
    <x v="0"/>
    <n v="52"/>
    <x v="140"/>
  </r>
  <r>
    <s v="ORD1361"/>
    <x v="32"/>
    <x v="47"/>
    <x v="0"/>
    <n v="51"/>
    <x v="4"/>
    <x v="4"/>
    <x v="3"/>
    <x v="2"/>
    <x v="8"/>
    <n v="2"/>
    <x v="1"/>
    <x v="3"/>
    <x v="2"/>
    <x v="5"/>
    <x v="0"/>
    <n v="52"/>
    <x v="171"/>
  </r>
  <r>
    <s v="ORD1362"/>
    <x v="13"/>
    <x v="18"/>
    <x v="1"/>
    <n v="29"/>
    <x v="0"/>
    <x v="0"/>
    <x v="5"/>
    <x v="0"/>
    <x v="1"/>
    <n v="500"/>
    <x v="2"/>
    <x v="3"/>
    <x v="1"/>
    <x v="2"/>
    <x v="0"/>
    <n v="550"/>
    <x v="114"/>
  </r>
  <r>
    <s v="ORD1363"/>
    <x v="93"/>
    <x v="18"/>
    <x v="0"/>
    <n v="22"/>
    <x v="0"/>
    <x v="0"/>
    <x v="1"/>
    <x v="1"/>
    <x v="6"/>
    <n v="120"/>
    <x v="1"/>
    <x v="2"/>
    <x v="0"/>
    <x v="0"/>
    <x v="0"/>
    <n v="170"/>
    <x v="80"/>
  </r>
  <r>
    <s v="ORD1364"/>
    <x v="90"/>
    <x v="2"/>
    <x v="0"/>
    <n v="30"/>
    <x v="2"/>
    <x v="2"/>
    <x v="3"/>
    <x v="2"/>
    <x v="6"/>
    <n v="2"/>
    <x v="0"/>
    <x v="3"/>
    <x v="2"/>
    <x v="3"/>
    <x v="0"/>
    <n v="52"/>
    <x v="125"/>
  </r>
  <r>
    <s v="ORD1365"/>
    <x v="162"/>
    <x v="31"/>
    <x v="0"/>
    <n v="30"/>
    <x v="0"/>
    <x v="0"/>
    <x v="4"/>
    <x v="2"/>
    <x v="7"/>
    <n v="5"/>
    <x v="1"/>
    <x v="2"/>
    <x v="1"/>
    <x v="3"/>
    <x v="0"/>
    <n v="55"/>
    <x v="12"/>
  </r>
  <r>
    <s v="ORD1366"/>
    <x v="23"/>
    <x v="31"/>
    <x v="1"/>
    <n v="18"/>
    <x v="1"/>
    <x v="1"/>
    <x v="7"/>
    <x v="0"/>
    <x v="4"/>
    <n v="180"/>
    <x v="1"/>
    <x v="1"/>
    <x v="1"/>
    <x v="5"/>
    <x v="0"/>
    <n v="230"/>
    <x v="149"/>
  </r>
  <r>
    <s v="ORD1367"/>
    <x v="44"/>
    <x v="42"/>
    <x v="1"/>
    <n v="37"/>
    <x v="1"/>
    <x v="1"/>
    <x v="7"/>
    <x v="0"/>
    <x v="1"/>
    <n v="180"/>
    <x v="0"/>
    <x v="3"/>
    <x v="0"/>
    <x v="3"/>
    <x v="0"/>
    <n v="230"/>
    <x v="163"/>
  </r>
  <r>
    <s v="ORD1368"/>
    <x v="106"/>
    <x v="20"/>
    <x v="1"/>
    <n v="37"/>
    <x v="3"/>
    <x v="3"/>
    <x v="0"/>
    <x v="0"/>
    <x v="3"/>
    <n v="850"/>
    <x v="0"/>
    <x v="3"/>
    <x v="2"/>
    <x v="4"/>
    <x v="0"/>
    <n v="900"/>
    <x v="87"/>
  </r>
  <r>
    <s v="ORD1369"/>
    <x v="68"/>
    <x v="38"/>
    <x v="0"/>
    <n v="19"/>
    <x v="2"/>
    <x v="2"/>
    <x v="5"/>
    <x v="0"/>
    <x v="0"/>
    <n v="500"/>
    <x v="2"/>
    <x v="5"/>
    <x v="2"/>
    <x v="3"/>
    <x v="0"/>
    <n v="550"/>
    <x v="105"/>
  </r>
  <r>
    <s v="ORD1370"/>
    <x v="37"/>
    <x v="3"/>
    <x v="0"/>
    <n v="21"/>
    <x v="3"/>
    <x v="3"/>
    <x v="5"/>
    <x v="0"/>
    <x v="3"/>
    <n v="500"/>
    <x v="2"/>
    <x v="2"/>
    <x v="2"/>
    <x v="2"/>
    <x v="0"/>
    <n v="550"/>
    <x v="176"/>
  </r>
  <r>
    <s v="ORD1371"/>
    <x v="12"/>
    <x v="10"/>
    <x v="1"/>
    <n v="40"/>
    <x v="1"/>
    <x v="1"/>
    <x v="4"/>
    <x v="2"/>
    <x v="7"/>
    <n v="5"/>
    <x v="1"/>
    <x v="0"/>
    <x v="3"/>
    <x v="1"/>
    <x v="0"/>
    <n v="55"/>
    <x v="12"/>
  </r>
  <r>
    <s v="ORD1372"/>
    <x v="103"/>
    <x v="8"/>
    <x v="1"/>
    <n v="20"/>
    <x v="4"/>
    <x v="4"/>
    <x v="3"/>
    <x v="2"/>
    <x v="1"/>
    <n v="2"/>
    <x v="1"/>
    <x v="4"/>
    <x v="1"/>
    <x v="1"/>
    <x v="0"/>
    <n v="52"/>
    <x v="190"/>
  </r>
  <r>
    <s v="ORD1373"/>
    <x v="154"/>
    <x v="10"/>
    <x v="0"/>
    <n v="30"/>
    <x v="3"/>
    <x v="3"/>
    <x v="5"/>
    <x v="0"/>
    <x v="5"/>
    <n v="500"/>
    <x v="1"/>
    <x v="3"/>
    <x v="0"/>
    <x v="5"/>
    <x v="0"/>
    <n v="550"/>
    <x v="191"/>
  </r>
  <r>
    <s v="ORD1374"/>
    <x v="112"/>
    <x v="21"/>
    <x v="0"/>
    <n v="31"/>
    <x v="1"/>
    <x v="1"/>
    <x v="5"/>
    <x v="0"/>
    <x v="0"/>
    <n v="500"/>
    <x v="1"/>
    <x v="4"/>
    <x v="3"/>
    <x v="1"/>
    <x v="0"/>
    <n v="550"/>
    <x v="32"/>
  </r>
  <r>
    <s v="ORD1375"/>
    <x v="109"/>
    <x v="23"/>
    <x v="1"/>
    <n v="39"/>
    <x v="2"/>
    <x v="2"/>
    <x v="2"/>
    <x v="0"/>
    <x v="5"/>
    <n v="15"/>
    <x v="0"/>
    <x v="5"/>
    <x v="2"/>
    <x v="1"/>
    <x v="0"/>
    <n v="65"/>
    <x v="144"/>
  </r>
  <r>
    <s v="ORD1376"/>
    <x v="39"/>
    <x v="20"/>
    <x v="0"/>
    <n v="18"/>
    <x v="1"/>
    <x v="1"/>
    <x v="3"/>
    <x v="2"/>
    <x v="3"/>
    <n v="2"/>
    <x v="3"/>
    <x v="5"/>
    <x v="1"/>
    <x v="0"/>
    <x v="0"/>
    <n v="52"/>
    <x v="56"/>
  </r>
  <r>
    <s v="ORD1377"/>
    <x v="113"/>
    <x v="34"/>
    <x v="1"/>
    <n v="29"/>
    <x v="4"/>
    <x v="4"/>
    <x v="7"/>
    <x v="0"/>
    <x v="9"/>
    <n v="180"/>
    <x v="1"/>
    <x v="0"/>
    <x v="0"/>
    <x v="4"/>
    <x v="0"/>
    <n v="230"/>
    <x v="63"/>
  </r>
  <r>
    <s v="ORD1378"/>
    <x v="163"/>
    <x v="9"/>
    <x v="1"/>
    <n v="18"/>
    <x v="3"/>
    <x v="3"/>
    <x v="2"/>
    <x v="0"/>
    <x v="6"/>
    <n v="15"/>
    <x v="0"/>
    <x v="3"/>
    <x v="3"/>
    <x v="2"/>
    <x v="0"/>
    <n v="65"/>
    <x v="89"/>
  </r>
  <r>
    <s v="ORD1379"/>
    <x v="97"/>
    <x v="0"/>
    <x v="1"/>
    <n v="52"/>
    <x v="4"/>
    <x v="4"/>
    <x v="3"/>
    <x v="2"/>
    <x v="4"/>
    <n v="2"/>
    <x v="0"/>
    <x v="1"/>
    <x v="3"/>
    <x v="3"/>
    <x v="0"/>
    <n v="52"/>
    <x v="185"/>
  </r>
  <r>
    <s v="ORD1380"/>
    <x v="86"/>
    <x v="32"/>
    <x v="0"/>
    <n v="44"/>
    <x v="3"/>
    <x v="3"/>
    <x v="7"/>
    <x v="0"/>
    <x v="5"/>
    <n v="180"/>
    <x v="2"/>
    <x v="0"/>
    <x v="3"/>
    <x v="0"/>
    <x v="0"/>
    <n v="230"/>
    <x v="192"/>
  </r>
  <r>
    <s v="ORD1381"/>
    <x v="164"/>
    <x v="24"/>
    <x v="1"/>
    <n v="59"/>
    <x v="0"/>
    <x v="0"/>
    <x v="7"/>
    <x v="0"/>
    <x v="9"/>
    <n v="180"/>
    <x v="2"/>
    <x v="1"/>
    <x v="2"/>
    <x v="4"/>
    <x v="0"/>
    <n v="230"/>
    <x v="44"/>
  </r>
  <r>
    <s v="ORD1382"/>
    <x v="87"/>
    <x v="34"/>
    <x v="1"/>
    <n v="50"/>
    <x v="4"/>
    <x v="4"/>
    <x v="4"/>
    <x v="2"/>
    <x v="9"/>
    <n v="5"/>
    <x v="3"/>
    <x v="3"/>
    <x v="1"/>
    <x v="0"/>
    <x v="0"/>
    <n v="55"/>
    <x v="45"/>
  </r>
  <r>
    <s v="ORD1383"/>
    <x v="70"/>
    <x v="26"/>
    <x v="0"/>
    <n v="39"/>
    <x v="4"/>
    <x v="4"/>
    <x v="7"/>
    <x v="0"/>
    <x v="0"/>
    <n v="180"/>
    <x v="3"/>
    <x v="1"/>
    <x v="0"/>
    <x v="2"/>
    <x v="0"/>
    <n v="230"/>
    <x v="146"/>
  </r>
  <r>
    <s v="ORD1384"/>
    <x v="117"/>
    <x v="24"/>
    <x v="1"/>
    <n v="34"/>
    <x v="2"/>
    <x v="2"/>
    <x v="0"/>
    <x v="0"/>
    <x v="6"/>
    <n v="850"/>
    <x v="0"/>
    <x v="4"/>
    <x v="0"/>
    <x v="0"/>
    <x v="0"/>
    <n v="900"/>
    <x v="97"/>
  </r>
  <r>
    <s v="ORD1385"/>
    <x v="88"/>
    <x v="29"/>
    <x v="1"/>
    <n v="58"/>
    <x v="2"/>
    <x v="2"/>
    <x v="3"/>
    <x v="2"/>
    <x v="3"/>
    <n v="2"/>
    <x v="0"/>
    <x v="4"/>
    <x v="1"/>
    <x v="4"/>
    <x v="0"/>
    <n v="52"/>
    <x v="33"/>
  </r>
  <r>
    <s v="ORD1386"/>
    <x v="49"/>
    <x v="26"/>
    <x v="1"/>
    <n v="58"/>
    <x v="0"/>
    <x v="0"/>
    <x v="0"/>
    <x v="0"/>
    <x v="6"/>
    <n v="850"/>
    <x v="3"/>
    <x v="5"/>
    <x v="0"/>
    <x v="0"/>
    <x v="0"/>
    <n v="900"/>
    <x v="193"/>
  </r>
  <r>
    <s v="ORD1387"/>
    <x v="71"/>
    <x v="37"/>
    <x v="1"/>
    <n v="44"/>
    <x v="2"/>
    <x v="2"/>
    <x v="2"/>
    <x v="0"/>
    <x v="0"/>
    <n v="15"/>
    <x v="2"/>
    <x v="2"/>
    <x v="1"/>
    <x v="0"/>
    <x v="0"/>
    <n v="65"/>
    <x v="134"/>
  </r>
  <r>
    <s v="ORD1388"/>
    <x v="58"/>
    <x v="3"/>
    <x v="0"/>
    <n v="41"/>
    <x v="4"/>
    <x v="4"/>
    <x v="4"/>
    <x v="2"/>
    <x v="3"/>
    <n v="5"/>
    <x v="2"/>
    <x v="0"/>
    <x v="3"/>
    <x v="4"/>
    <x v="0"/>
    <n v="55"/>
    <x v="9"/>
  </r>
  <r>
    <s v="ORD1389"/>
    <x v="165"/>
    <x v="34"/>
    <x v="0"/>
    <n v="60"/>
    <x v="1"/>
    <x v="1"/>
    <x v="2"/>
    <x v="0"/>
    <x v="7"/>
    <n v="15"/>
    <x v="3"/>
    <x v="3"/>
    <x v="1"/>
    <x v="1"/>
    <x v="0"/>
    <n v="65"/>
    <x v="46"/>
  </r>
  <r>
    <s v="ORD1390"/>
    <x v="112"/>
    <x v="20"/>
    <x v="0"/>
    <n v="39"/>
    <x v="4"/>
    <x v="4"/>
    <x v="7"/>
    <x v="0"/>
    <x v="5"/>
    <n v="180"/>
    <x v="0"/>
    <x v="2"/>
    <x v="0"/>
    <x v="1"/>
    <x v="0"/>
    <n v="230"/>
    <x v="112"/>
  </r>
  <r>
    <s v="ORD1391"/>
    <x v="105"/>
    <x v="44"/>
    <x v="0"/>
    <n v="18"/>
    <x v="3"/>
    <x v="3"/>
    <x v="2"/>
    <x v="0"/>
    <x v="5"/>
    <n v="15"/>
    <x v="1"/>
    <x v="5"/>
    <x v="1"/>
    <x v="3"/>
    <x v="0"/>
    <n v="65"/>
    <x v="10"/>
  </r>
  <r>
    <s v="ORD1392"/>
    <x v="84"/>
    <x v="27"/>
    <x v="1"/>
    <n v="44"/>
    <x v="4"/>
    <x v="4"/>
    <x v="5"/>
    <x v="0"/>
    <x v="0"/>
    <n v="500"/>
    <x v="3"/>
    <x v="2"/>
    <x v="0"/>
    <x v="0"/>
    <x v="0"/>
    <n v="550"/>
    <x v="11"/>
  </r>
  <r>
    <s v="ORD1393"/>
    <x v="24"/>
    <x v="23"/>
    <x v="0"/>
    <n v="36"/>
    <x v="1"/>
    <x v="1"/>
    <x v="6"/>
    <x v="1"/>
    <x v="1"/>
    <n v="80"/>
    <x v="2"/>
    <x v="5"/>
    <x v="2"/>
    <x v="4"/>
    <x v="0"/>
    <n v="130"/>
    <x v="194"/>
  </r>
  <r>
    <s v="ORD1394"/>
    <x v="136"/>
    <x v="25"/>
    <x v="1"/>
    <n v="40"/>
    <x v="3"/>
    <x v="3"/>
    <x v="0"/>
    <x v="0"/>
    <x v="1"/>
    <n v="850"/>
    <x v="2"/>
    <x v="0"/>
    <x v="0"/>
    <x v="4"/>
    <x v="0"/>
    <n v="900"/>
    <x v="180"/>
  </r>
  <r>
    <s v="ORD1395"/>
    <x v="162"/>
    <x v="36"/>
    <x v="1"/>
    <n v="49"/>
    <x v="1"/>
    <x v="1"/>
    <x v="3"/>
    <x v="2"/>
    <x v="1"/>
    <n v="2"/>
    <x v="0"/>
    <x v="3"/>
    <x v="3"/>
    <x v="3"/>
    <x v="0"/>
    <n v="52"/>
    <x v="188"/>
  </r>
  <r>
    <s v="ORD1396"/>
    <x v="31"/>
    <x v="10"/>
    <x v="1"/>
    <n v="38"/>
    <x v="2"/>
    <x v="2"/>
    <x v="3"/>
    <x v="2"/>
    <x v="4"/>
    <n v="2"/>
    <x v="0"/>
    <x v="5"/>
    <x v="3"/>
    <x v="3"/>
    <x v="0"/>
    <n v="52"/>
    <x v="185"/>
  </r>
  <r>
    <s v="ORD1397"/>
    <x v="4"/>
    <x v="0"/>
    <x v="1"/>
    <n v="32"/>
    <x v="1"/>
    <x v="1"/>
    <x v="4"/>
    <x v="2"/>
    <x v="0"/>
    <n v="5"/>
    <x v="2"/>
    <x v="0"/>
    <x v="1"/>
    <x v="1"/>
    <x v="0"/>
    <n v="55"/>
    <x v="195"/>
  </r>
  <r>
    <s v="ORD1398"/>
    <x v="96"/>
    <x v="42"/>
    <x v="1"/>
    <n v="52"/>
    <x v="3"/>
    <x v="3"/>
    <x v="3"/>
    <x v="2"/>
    <x v="3"/>
    <n v="2"/>
    <x v="2"/>
    <x v="5"/>
    <x v="0"/>
    <x v="5"/>
    <x v="0"/>
    <n v="52"/>
    <x v="15"/>
  </r>
  <r>
    <s v="ORD1399"/>
    <x v="43"/>
    <x v="21"/>
    <x v="1"/>
    <n v="50"/>
    <x v="1"/>
    <x v="1"/>
    <x v="1"/>
    <x v="1"/>
    <x v="1"/>
    <n v="120"/>
    <x v="0"/>
    <x v="2"/>
    <x v="2"/>
    <x v="0"/>
    <x v="0"/>
    <n v="170"/>
    <x v="135"/>
  </r>
  <r>
    <s v="ORD1400"/>
    <x v="116"/>
    <x v="18"/>
    <x v="1"/>
    <n v="20"/>
    <x v="2"/>
    <x v="2"/>
    <x v="1"/>
    <x v="1"/>
    <x v="8"/>
    <n v="120"/>
    <x v="1"/>
    <x v="4"/>
    <x v="3"/>
    <x v="0"/>
    <x v="0"/>
    <n v="170"/>
    <x v="25"/>
  </r>
  <r>
    <s v="ORD1401"/>
    <x v="135"/>
    <x v="44"/>
    <x v="0"/>
    <n v="46"/>
    <x v="1"/>
    <x v="1"/>
    <x v="1"/>
    <x v="1"/>
    <x v="9"/>
    <n v="120"/>
    <x v="1"/>
    <x v="5"/>
    <x v="3"/>
    <x v="3"/>
    <x v="0"/>
    <n v="170"/>
    <x v="196"/>
  </r>
  <r>
    <s v="ORD1402"/>
    <x v="106"/>
    <x v="19"/>
    <x v="0"/>
    <n v="51"/>
    <x v="0"/>
    <x v="0"/>
    <x v="3"/>
    <x v="2"/>
    <x v="7"/>
    <n v="2"/>
    <x v="3"/>
    <x v="3"/>
    <x v="2"/>
    <x v="4"/>
    <x v="0"/>
    <n v="52"/>
    <x v="197"/>
  </r>
  <r>
    <s v="ORD1403"/>
    <x v="77"/>
    <x v="3"/>
    <x v="0"/>
    <n v="55"/>
    <x v="3"/>
    <x v="3"/>
    <x v="1"/>
    <x v="1"/>
    <x v="4"/>
    <n v="120"/>
    <x v="3"/>
    <x v="1"/>
    <x v="3"/>
    <x v="5"/>
    <x v="0"/>
    <n v="170"/>
    <x v="137"/>
  </r>
  <r>
    <s v="ORD1404"/>
    <x v="9"/>
    <x v="17"/>
    <x v="1"/>
    <n v="33"/>
    <x v="1"/>
    <x v="1"/>
    <x v="6"/>
    <x v="1"/>
    <x v="2"/>
    <n v="80"/>
    <x v="3"/>
    <x v="1"/>
    <x v="1"/>
    <x v="5"/>
    <x v="0"/>
    <n v="130"/>
    <x v="56"/>
  </r>
  <r>
    <s v="ORD1405"/>
    <x v="107"/>
    <x v="7"/>
    <x v="0"/>
    <n v="22"/>
    <x v="3"/>
    <x v="3"/>
    <x v="7"/>
    <x v="0"/>
    <x v="0"/>
    <n v="180"/>
    <x v="0"/>
    <x v="2"/>
    <x v="1"/>
    <x v="4"/>
    <x v="0"/>
    <n v="230"/>
    <x v="101"/>
  </r>
  <r>
    <s v="ORD1406"/>
    <x v="13"/>
    <x v="42"/>
    <x v="0"/>
    <n v="60"/>
    <x v="1"/>
    <x v="1"/>
    <x v="5"/>
    <x v="0"/>
    <x v="6"/>
    <n v="500"/>
    <x v="1"/>
    <x v="1"/>
    <x v="0"/>
    <x v="2"/>
    <x v="0"/>
    <n v="550"/>
    <x v="11"/>
  </r>
  <r>
    <s v="ORD1407"/>
    <x v="88"/>
    <x v="45"/>
    <x v="1"/>
    <n v="26"/>
    <x v="1"/>
    <x v="1"/>
    <x v="7"/>
    <x v="0"/>
    <x v="3"/>
    <n v="180"/>
    <x v="3"/>
    <x v="2"/>
    <x v="1"/>
    <x v="4"/>
    <x v="0"/>
    <n v="230"/>
    <x v="98"/>
  </r>
  <r>
    <s v="ORD1408"/>
    <x v="153"/>
    <x v="39"/>
    <x v="1"/>
    <n v="23"/>
    <x v="3"/>
    <x v="3"/>
    <x v="4"/>
    <x v="2"/>
    <x v="1"/>
    <n v="5"/>
    <x v="1"/>
    <x v="5"/>
    <x v="0"/>
    <x v="2"/>
    <x v="0"/>
    <n v="55"/>
    <x v="198"/>
  </r>
  <r>
    <s v="ORD1409"/>
    <x v="144"/>
    <x v="30"/>
    <x v="1"/>
    <n v="34"/>
    <x v="3"/>
    <x v="3"/>
    <x v="5"/>
    <x v="0"/>
    <x v="9"/>
    <n v="500"/>
    <x v="2"/>
    <x v="4"/>
    <x v="3"/>
    <x v="5"/>
    <x v="0"/>
    <n v="550"/>
    <x v="132"/>
  </r>
  <r>
    <s v="ORD1410"/>
    <x v="108"/>
    <x v="17"/>
    <x v="1"/>
    <n v="44"/>
    <x v="3"/>
    <x v="3"/>
    <x v="5"/>
    <x v="0"/>
    <x v="5"/>
    <n v="500"/>
    <x v="0"/>
    <x v="4"/>
    <x v="1"/>
    <x v="2"/>
    <x v="0"/>
    <n v="550"/>
    <x v="199"/>
  </r>
  <r>
    <s v="ORD1411"/>
    <x v="142"/>
    <x v="7"/>
    <x v="1"/>
    <n v="21"/>
    <x v="0"/>
    <x v="0"/>
    <x v="1"/>
    <x v="1"/>
    <x v="5"/>
    <n v="120"/>
    <x v="1"/>
    <x v="5"/>
    <x v="2"/>
    <x v="0"/>
    <x v="0"/>
    <n v="170"/>
    <x v="39"/>
  </r>
  <r>
    <s v="ORD1412"/>
    <x v="4"/>
    <x v="19"/>
    <x v="1"/>
    <n v="31"/>
    <x v="4"/>
    <x v="4"/>
    <x v="2"/>
    <x v="0"/>
    <x v="8"/>
    <n v="15"/>
    <x v="2"/>
    <x v="4"/>
    <x v="0"/>
    <x v="1"/>
    <x v="0"/>
    <n v="65"/>
    <x v="15"/>
  </r>
  <r>
    <s v="ORD1413"/>
    <x v="16"/>
    <x v="24"/>
    <x v="0"/>
    <n v="30"/>
    <x v="0"/>
    <x v="0"/>
    <x v="2"/>
    <x v="0"/>
    <x v="9"/>
    <n v="15"/>
    <x v="1"/>
    <x v="1"/>
    <x v="3"/>
    <x v="3"/>
    <x v="0"/>
    <n v="65"/>
    <x v="200"/>
  </r>
  <r>
    <s v="ORD1414"/>
    <x v="105"/>
    <x v="11"/>
    <x v="0"/>
    <n v="57"/>
    <x v="0"/>
    <x v="0"/>
    <x v="5"/>
    <x v="0"/>
    <x v="3"/>
    <n v="500"/>
    <x v="1"/>
    <x v="4"/>
    <x v="1"/>
    <x v="3"/>
    <x v="0"/>
    <n v="550"/>
    <x v="201"/>
  </r>
  <r>
    <s v="ORD1415"/>
    <x v="90"/>
    <x v="39"/>
    <x v="0"/>
    <n v="21"/>
    <x v="1"/>
    <x v="1"/>
    <x v="7"/>
    <x v="0"/>
    <x v="1"/>
    <n v="180"/>
    <x v="1"/>
    <x v="4"/>
    <x v="0"/>
    <x v="3"/>
    <x v="0"/>
    <n v="230"/>
    <x v="202"/>
  </r>
  <r>
    <s v="ORD1416"/>
    <x v="127"/>
    <x v="28"/>
    <x v="1"/>
    <n v="27"/>
    <x v="3"/>
    <x v="3"/>
    <x v="7"/>
    <x v="0"/>
    <x v="7"/>
    <n v="180"/>
    <x v="1"/>
    <x v="2"/>
    <x v="3"/>
    <x v="2"/>
    <x v="0"/>
    <n v="230"/>
    <x v="203"/>
  </r>
  <r>
    <s v="ORD1417"/>
    <x v="133"/>
    <x v="42"/>
    <x v="0"/>
    <n v="38"/>
    <x v="4"/>
    <x v="4"/>
    <x v="5"/>
    <x v="0"/>
    <x v="9"/>
    <n v="500"/>
    <x v="3"/>
    <x v="2"/>
    <x v="2"/>
    <x v="5"/>
    <x v="0"/>
    <n v="550"/>
    <x v="52"/>
  </r>
  <r>
    <s v="ORD1418"/>
    <x v="140"/>
    <x v="13"/>
    <x v="0"/>
    <n v="21"/>
    <x v="1"/>
    <x v="1"/>
    <x v="0"/>
    <x v="0"/>
    <x v="0"/>
    <n v="850"/>
    <x v="1"/>
    <x v="4"/>
    <x v="2"/>
    <x v="4"/>
    <x v="0"/>
    <n v="900"/>
    <x v="173"/>
  </r>
  <r>
    <s v="ORD1419"/>
    <x v="166"/>
    <x v="33"/>
    <x v="1"/>
    <n v="32"/>
    <x v="3"/>
    <x v="3"/>
    <x v="6"/>
    <x v="1"/>
    <x v="8"/>
    <n v="80"/>
    <x v="3"/>
    <x v="3"/>
    <x v="3"/>
    <x v="1"/>
    <x v="0"/>
    <n v="130"/>
    <x v="78"/>
  </r>
  <r>
    <s v="ORD1420"/>
    <x v="129"/>
    <x v="42"/>
    <x v="0"/>
    <n v="55"/>
    <x v="4"/>
    <x v="4"/>
    <x v="5"/>
    <x v="0"/>
    <x v="5"/>
    <n v="500"/>
    <x v="2"/>
    <x v="0"/>
    <x v="3"/>
    <x v="4"/>
    <x v="0"/>
    <n v="550"/>
    <x v="17"/>
  </r>
  <r>
    <s v="ORD1421"/>
    <x v="13"/>
    <x v="34"/>
    <x v="0"/>
    <n v="51"/>
    <x v="3"/>
    <x v="3"/>
    <x v="4"/>
    <x v="2"/>
    <x v="1"/>
    <n v="5"/>
    <x v="1"/>
    <x v="0"/>
    <x v="1"/>
    <x v="2"/>
    <x v="0"/>
    <n v="55"/>
    <x v="198"/>
  </r>
  <r>
    <s v="ORD1422"/>
    <x v="4"/>
    <x v="36"/>
    <x v="0"/>
    <n v="22"/>
    <x v="3"/>
    <x v="3"/>
    <x v="3"/>
    <x v="2"/>
    <x v="8"/>
    <n v="2"/>
    <x v="2"/>
    <x v="3"/>
    <x v="3"/>
    <x v="1"/>
    <x v="0"/>
    <n v="52"/>
    <x v="37"/>
  </r>
  <r>
    <s v="ORD1423"/>
    <x v="8"/>
    <x v="11"/>
    <x v="1"/>
    <n v="20"/>
    <x v="1"/>
    <x v="1"/>
    <x v="2"/>
    <x v="0"/>
    <x v="6"/>
    <n v="15"/>
    <x v="1"/>
    <x v="3"/>
    <x v="0"/>
    <x v="4"/>
    <x v="0"/>
    <n v="65"/>
    <x v="93"/>
  </r>
  <r>
    <s v="ORD1424"/>
    <x v="94"/>
    <x v="15"/>
    <x v="1"/>
    <n v="24"/>
    <x v="2"/>
    <x v="2"/>
    <x v="0"/>
    <x v="0"/>
    <x v="1"/>
    <n v="850"/>
    <x v="1"/>
    <x v="2"/>
    <x v="0"/>
    <x v="1"/>
    <x v="0"/>
    <n v="900"/>
    <x v="1"/>
  </r>
  <r>
    <s v="ORD1425"/>
    <x v="66"/>
    <x v="45"/>
    <x v="1"/>
    <n v="53"/>
    <x v="3"/>
    <x v="3"/>
    <x v="6"/>
    <x v="1"/>
    <x v="1"/>
    <n v="80"/>
    <x v="0"/>
    <x v="5"/>
    <x v="0"/>
    <x v="2"/>
    <x v="0"/>
    <n v="130"/>
    <x v="121"/>
  </r>
  <r>
    <s v="ORD1426"/>
    <x v="15"/>
    <x v="26"/>
    <x v="0"/>
    <n v="53"/>
    <x v="4"/>
    <x v="4"/>
    <x v="0"/>
    <x v="0"/>
    <x v="1"/>
    <n v="850"/>
    <x v="1"/>
    <x v="5"/>
    <x v="0"/>
    <x v="0"/>
    <x v="0"/>
    <n v="900"/>
    <x v="1"/>
  </r>
  <r>
    <s v="ORD1427"/>
    <x v="61"/>
    <x v="21"/>
    <x v="1"/>
    <n v="38"/>
    <x v="0"/>
    <x v="0"/>
    <x v="5"/>
    <x v="0"/>
    <x v="7"/>
    <n v="500"/>
    <x v="1"/>
    <x v="2"/>
    <x v="1"/>
    <x v="5"/>
    <x v="0"/>
    <n v="550"/>
    <x v="41"/>
  </r>
  <r>
    <s v="ORD1428"/>
    <x v="127"/>
    <x v="22"/>
    <x v="1"/>
    <n v="45"/>
    <x v="4"/>
    <x v="4"/>
    <x v="1"/>
    <x v="1"/>
    <x v="7"/>
    <n v="120"/>
    <x v="0"/>
    <x v="0"/>
    <x v="0"/>
    <x v="2"/>
    <x v="0"/>
    <n v="170"/>
    <x v="168"/>
  </r>
  <r>
    <s v="ORD1429"/>
    <x v="15"/>
    <x v="36"/>
    <x v="1"/>
    <n v="32"/>
    <x v="4"/>
    <x v="4"/>
    <x v="2"/>
    <x v="0"/>
    <x v="8"/>
    <n v="15"/>
    <x v="2"/>
    <x v="2"/>
    <x v="3"/>
    <x v="0"/>
    <x v="0"/>
    <n v="65"/>
    <x v="15"/>
  </r>
  <r>
    <s v="ORD1430"/>
    <x v="162"/>
    <x v="37"/>
    <x v="1"/>
    <n v="18"/>
    <x v="0"/>
    <x v="0"/>
    <x v="4"/>
    <x v="2"/>
    <x v="7"/>
    <n v="5"/>
    <x v="0"/>
    <x v="0"/>
    <x v="3"/>
    <x v="3"/>
    <x v="0"/>
    <n v="55"/>
    <x v="204"/>
  </r>
  <r>
    <s v="ORD1431"/>
    <x v="58"/>
    <x v="8"/>
    <x v="1"/>
    <n v="25"/>
    <x v="4"/>
    <x v="4"/>
    <x v="1"/>
    <x v="1"/>
    <x v="8"/>
    <n v="120"/>
    <x v="3"/>
    <x v="2"/>
    <x v="1"/>
    <x v="4"/>
    <x v="0"/>
    <n v="170"/>
    <x v="205"/>
  </r>
  <r>
    <s v="ORD1432"/>
    <x v="143"/>
    <x v="44"/>
    <x v="1"/>
    <n v="31"/>
    <x v="4"/>
    <x v="4"/>
    <x v="4"/>
    <x v="2"/>
    <x v="3"/>
    <n v="5"/>
    <x v="1"/>
    <x v="0"/>
    <x v="1"/>
    <x v="4"/>
    <x v="0"/>
    <n v="55"/>
    <x v="34"/>
  </r>
  <r>
    <s v="ORD1433"/>
    <x v="127"/>
    <x v="31"/>
    <x v="0"/>
    <n v="27"/>
    <x v="2"/>
    <x v="2"/>
    <x v="5"/>
    <x v="0"/>
    <x v="9"/>
    <n v="500"/>
    <x v="0"/>
    <x v="2"/>
    <x v="0"/>
    <x v="2"/>
    <x v="0"/>
    <n v="550"/>
    <x v="206"/>
  </r>
  <r>
    <s v="ORD1434"/>
    <x v="124"/>
    <x v="26"/>
    <x v="0"/>
    <n v="52"/>
    <x v="1"/>
    <x v="1"/>
    <x v="6"/>
    <x v="1"/>
    <x v="4"/>
    <n v="80"/>
    <x v="3"/>
    <x v="3"/>
    <x v="3"/>
    <x v="5"/>
    <x v="0"/>
    <n v="130"/>
    <x v="177"/>
  </r>
  <r>
    <s v="ORD1435"/>
    <x v="33"/>
    <x v="26"/>
    <x v="0"/>
    <n v="22"/>
    <x v="2"/>
    <x v="2"/>
    <x v="6"/>
    <x v="1"/>
    <x v="2"/>
    <n v="80"/>
    <x v="2"/>
    <x v="1"/>
    <x v="2"/>
    <x v="3"/>
    <x v="0"/>
    <n v="130"/>
    <x v="15"/>
  </r>
  <r>
    <s v="ORD1436"/>
    <x v="73"/>
    <x v="14"/>
    <x v="0"/>
    <n v="19"/>
    <x v="3"/>
    <x v="3"/>
    <x v="7"/>
    <x v="0"/>
    <x v="3"/>
    <n v="180"/>
    <x v="2"/>
    <x v="3"/>
    <x v="2"/>
    <x v="1"/>
    <x v="0"/>
    <n v="230"/>
    <x v="207"/>
  </r>
  <r>
    <s v="ORD1437"/>
    <x v="167"/>
    <x v="8"/>
    <x v="0"/>
    <n v="20"/>
    <x v="2"/>
    <x v="2"/>
    <x v="2"/>
    <x v="0"/>
    <x v="9"/>
    <n v="15"/>
    <x v="3"/>
    <x v="2"/>
    <x v="3"/>
    <x v="0"/>
    <x v="0"/>
    <n v="65"/>
    <x v="78"/>
  </r>
  <r>
    <s v="ORD1438"/>
    <x v="18"/>
    <x v="12"/>
    <x v="1"/>
    <n v="29"/>
    <x v="2"/>
    <x v="2"/>
    <x v="1"/>
    <x v="1"/>
    <x v="4"/>
    <n v="120"/>
    <x v="2"/>
    <x v="3"/>
    <x v="3"/>
    <x v="5"/>
    <x v="0"/>
    <n v="170"/>
    <x v="96"/>
  </r>
  <r>
    <s v="ORD1439"/>
    <x v="131"/>
    <x v="43"/>
    <x v="1"/>
    <n v="29"/>
    <x v="3"/>
    <x v="3"/>
    <x v="3"/>
    <x v="2"/>
    <x v="3"/>
    <n v="2"/>
    <x v="1"/>
    <x v="5"/>
    <x v="3"/>
    <x v="2"/>
    <x v="0"/>
    <n v="52"/>
    <x v="16"/>
  </r>
  <r>
    <s v="ORD1440"/>
    <x v="90"/>
    <x v="19"/>
    <x v="0"/>
    <n v="51"/>
    <x v="0"/>
    <x v="0"/>
    <x v="2"/>
    <x v="0"/>
    <x v="4"/>
    <n v="15"/>
    <x v="3"/>
    <x v="1"/>
    <x v="1"/>
    <x v="3"/>
    <x v="0"/>
    <n v="65"/>
    <x v="145"/>
  </r>
  <r>
    <s v="ORD1441"/>
    <x v="125"/>
    <x v="47"/>
    <x v="1"/>
    <n v="25"/>
    <x v="0"/>
    <x v="0"/>
    <x v="2"/>
    <x v="0"/>
    <x v="5"/>
    <n v="15"/>
    <x v="3"/>
    <x v="3"/>
    <x v="1"/>
    <x v="3"/>
    <x v="0"/>
    <n v="65"/>
    <x v="70"/>
  </r>
  <r>
    <s v="ORD1442"/>
    <x v="167"/>
    <x v="11"/>
    <x v="0"/>
    <n v="38"/>
    <x v="0"/>
    <x v="0"/>
    <x v="1"/>
    <x v="1"/>
    <x v="8"/>
    <n v="120"/>
    <x v="1"/>
    <x v="4"/>
    <x v="1"/>
    <x v="0"/>
    <x v="0"/>
    <n v="170"/>
    <x v="25"/>
  </r>
  <r>
    <s v="ORD1443"/>
    <x v="136"/>
    <x v="35"/>
    <x v="0"/>
    <n v="60"/>
    <x v="2"/>
    <x v="2"/>
    <x v="6"/>
    <x v="1"/>
    <x v="4"/>
    <n v="80"/>
    <x v="1"/>
    <x v="2"/>
    <x v="3"/>
    <x v="4"/>
    <x v="0"/>
    <n v="130"/>
    <x v="90"/>
  </r>
  <r>
    <s v="ORD1444"/>
    <x v="56"/>
    <x v="30"/>
    <x v="1"/>
    <n v="27"/>
    <x v="3"/>
    <x v="3"/>
    <x v="4"/>
    <x v="2"/>
    <x v="6"/>
    <n v="5"/>
    <x v="2"/>
    <x v="0"/>
    <x v="1"/>
    <x v="3"/>
    <x v="0"/>
    <n v="55"/>
    <x v="208"/>
  </r>
  <r>
    <s v="ORD1445"/>
    <x v="120"/>
    <x v="29"/>
    <x v="0"/>
    <n v="23"/>
    <x v="3"/>
    <x v="3"/>
    <x v="7"/>
    <x v="0"/>
    <x v="0"/>
    <n v="180"/>
    <x v="2"/>
    <x v="4"/>
    <x v="0"/>
    <x v="2"/>
    <x v="0"/>
    <n v="230"/>
    <x v="209"/>
  </r>
  <r>
    <s v="ORD1446"/>
    <x v="159"/>
    <x v="35"/>
    <x v="1"/>
    <n v="56"/>
    <x v="3"/>
    <x v="3"/>
    <x v="4"/>
    <x v="2"/>
    <x v="0"/>
    <n v="5"/>
    <x v="1"/>
    <x v="1"/>
    <x v="3"/>
    <x v="4"/>
    <x v="0"/>
    <n v="55"/>
    <x v="41"/>
  </r>
  <r>
    <s v="ORD1447"/>
    <x v="59"/>
    <x v="26"/>
    <x v="0"/>
    <n v="34"/>
    <x v="4"/>
    <x v="4"/>
    <x v="5"/>
    <x v="0"/>
    <x v="8"/>
    <n v="500"/>
    <x v="2"/>
    <x v="2"/>
    <x v="0"/>
    <x v="4"/>
    <x v="0"/>
    <n v="550"/>
    <x v="210"/>
  </r>
  <r>
    <s v="ORD1448"/>
    <x v="9"/>
    <x v="34"/>
    <x v="1"/>
    <n v="48"/>
    <x v="1"/>
    <x v="1"/>
    <x v="4"/>
    <x v="2"/>
    <x v="0"/>
    <n v="5"/>
    <x v="1"/>
    <x v="4"/>
    <x v="1"/>
    <x v="5"/>
    <x v="0"/>
    <n v="55"/>
    <x v="41"/>
  </r>
  <r>
    <s v="ORD1449"/>
    <x v="103"/>
    <x v="42"/>
    <x v="1"/>
    <n v="28"/>
    <x v="0"/>
    <x v="0"/>
    <x v="2"/>
    <x v="0"/>
    <x v="4"/>
    <n v="15"/>
    <x v="3"/>
    <x v="4"/>
    <x v="2"/>
    <x v="1"/>
    <x v="0"/>
    <n v="65"/>
    <x v="145"/>
  </r>
  <r>
    <s v="ORD1450"/>
    <x v="130"/>
    <x v="19"/>
    <x v="1"/>
    <n v="37"/>
    <x v="1"/>
    <x v="1"/>
    <x v="4"/>
    <x v="2"/>
    <x v="9"/>
    <n v="5"/>
    <x v="3"/>
    <x v="1"/>
    <x v="1"/>
    <x v="5"/>
    <x v="0"/>
    <n v="55"/>
    <x v="45"/>
  </r>
  <r>
    <s v="ORD1451"/>
    <x v="143"/>
    <x v="4"/>
    <x v="0"/>
    <n v="34"/>
    <x v="2"/>
    <x v="2"/>
    <x v="2"/>
    <x v="0"/>
    <x v="8"/>
    <n v="15"/>
    <x v="3"/>
    <x v="0"/>
    <x v="0"/>
    <x v="4"/>
    <x v="0"/>
    <n v="65"/>
    <x v="56"/>
  </r>
  <r>
    <s v="ORD1452"/>
    <x v="143"/>
    <x v="47"/>
    <x v="0"/>
    <n v="18"/>
    <x v="1"/>
    <x v="1"/>
    <x v="0"/>
    <x v="0"/>
    <x v="5"/>
    <n v="850"/>
    <x v="2"/>
    <x v="0"/>
    <x v="1"/>
    <x v="4"/>
    <x v="0"/>
    <n v="900"/>
    <x v="13"/>
  </r>
  <r>
    <s v="ORD1453"/>
    <x v="102"/>
    <x v="42"/>
    <x v="0"/>
    <n v="37"/>
    <x v="3"/>
    <x v="3"/>
    <x v="7"/>
    <x v="0"/>
    <x v="0"/>
    <n v="180"/>
    <x v="0"/>
    <x v="2"/>
    <x v="2"/>
    <x v="0"/>
    <x v="0"/>
    <n v="230"/>
    <x v="101"/>
  </r>
  <r>
    <s v="ORD1454"/>
    <x v="111"/>
    <x v="24"/>
    <x v="1"/>
    <n v="57"/>
    <x v="3"/>
    <x v="3"/>
    <x v="5"/>
    <x v="0"/>
    <x v="2"/>
    <n v="500"/>
    <x v="3"/>
    <x v="0"/>
    <x v="0"/>
    <x v="0"/>
    <x v="0"/>
    <n v="550"/>
    <x v="211"/>
  </r>
  <r>
    <s v="ORD1455"/>
    <x v="50"/>
    <x v="26"/>
    <x v="0"/>
    <n v="26"/>
    <x v="2"/>
    <x v="2"/>
    <x v="0"/>
    <x v="0"/>
    <x v="3"/>
    <n v="850"/>
    <x v="3"/>
    <x v="5"/>
    <x v="2"/>
    <x v="2"/>
    <x v="0"/>
    <n v="900"/>
    <x v="104"/>
  </r>
  <r>
    <s v="ORD1456"/>
    <x v="159"/>
    <x v="37"/>
    <x v="1"/>
    <n v="53"/>
    <x v="2"/>
    <x v="2"/>
    <x v="0"/>
    <x v="0"/>
    <x v="0"/>
    <n v="850"/>
    <x v="3"/>
    <x v="4"/>
    <x v="1"/>
    <x v="4"/>
    <x v="0"/>
    <n v="900"/>
    <x v="172"/>
  </r>
  <r>
    <s v="ORD1457"/>
    <x v="166"/>
    <x v="20"/>
    <x v="0"/>
    <n v="25"/>
    <x v="3"/>
    <x v="3"/>
    <x v="7"/>
    <x v="0"/>
    <x v="6"/>
    <n v="180"/>
    <x v="3"/>
    <x v="1"/>
    <x v="3"/>
    <x v="1"/>
    <x v="0"/>
    <n v="230"/>
    <x v="123"/>
  </r>
  <r>
    <s v="ORD1458"/>
    <x v="156"/>
    <x v="17"/>
    <x v="1"/>
    <n v="23"/>
    <x v="1"/>
    <x v="1"/>
    <x v="6"/>
    <x v="1"/>
    <x v="4"/>
    <n v="80"/>
    <x v="0"/>
    <x v="2"/>
    <x v="1"/>
    <x v="5"/>
    <x v="0"/>
    <n v="130"/>
    <x v="186"/>
  </r>
  <r>
    <s v="ORD1459"/>
    <x v="41"/>
    <x v="10"/>
    <x v="1"/>
    <n v="51"/>
    <x v="3"/>
    <x v="3"/>
    <x v="6"/>
    <x v="1"/>
    <x v="5"/>
    <n v="80"/>
    <x v="3"/>
    <x v="4"/>
    <x v="1"/>
    <x v="4"/>
    <x v="0"/>
    <n v="130"/>
    <x v="145"/>
  </r>
  <r>
    <s v="ORD1460"/>
    <x v="103"/>
    <x v="21"/>
    <x v="0"/>
    <n v="38"/>
    <x v="4"/>
    <x v="4"/>
    <x v="1"/>
    <x v="1"/>
    <x v="6"/>
    <n v="120"/>
    <x v="0"/>
    <x v="4"/>
    <x v="1"/>
    <x v="1"/>
    <x v="0"/>
    <n v="170"/>
    <x v="119"/>
  </r>
  <r>
    <s v="ORD1461"/>
    <x v="137"/>
    <x v="5"/>
    <x v="1"/>
    <n v="45"/>
    <x v="2"/>
    <x v="2"/>
    <x v="0"/>
    <x v="0"/>
    <x v="6"/>
    <n v="850"/>
    <x v="1"/>
    <x v="1"/>
    <x v="0"/>
    <x v="4"/>
    <x v="0"/>
    <n v="900"/>
    <x v="172"/>
  </r>
  <r>
    <s v="ORD1462"/>
    <x v="81"/>
    <x v="1"/>
    <x v="1"/>
    <n v="56"/>
    <x v="1"/>
    <x v="1"/>
    <x v="1"/>
    <x v="1"/>
    <x v="6"/>
    <n v="120"/>
    <x v="1"/>
    <x v="0"/>
    <x v="3"/>
    <x v="4"/>
    <x v="0"/>
    <n v="170"/>
    <x v="80"/>
  </r>
  <r>
    <s v="ORD1463"/>
    <x v="166"/>
    <x v="7"/>
    <x v="1"/>
    <n v="30"/>
    <x v="3"/>
    <x v="3"/>
    <x v="0"/>
    <x v="0"/>
    <x v="0"/>
    <n v="850"/>
    <x v="2"/>
    <x v="4"/>
    <x v="0"/>
    <x v="1"/>
    <x v="0"/>
    <n v="900"/>
    <x v="47"/>
  </r>
  <r>
    <s v="ORD1464"/>
    <x v="13"/>
    <x v="39"/>
    <x v="1"/>
    <n v="51"/>
    <x v="1"/>
    <x v="1"/>
    <x v="4"/>
    <x v="2"/>
    <x v="6"/>
    <n v="5"/>
    <x v="3"/>
    <x v="0"/>
    <x v="2"/>
    <x v="2"/>
    <x v="0"/>
    <n v="55"/>
    <x v="158"/>
  </r>
  <r>
    <s v="ORD1465"/>
    <x v="119"/>
    <x v="21"/>
    <x v="0"/>
    <n v="59"/>
    <x v="3"/>
    <x v="3"/>
    <x v="2"/>
    <x v="0"/>
    <x v="8"/>
    <n v="15"/>
    <x v="1"/>
    <x v="2"/>
    <x v="1"/>
    <x v="2"/>
    <x v="0"/>
    <n v="65"/>
    <x v="16"/>
  </r>
  <r>
    <s v="ORD1466"/>
    <x v="154"/>
    <x v="20"/>
    <x v="0"/>
    <n v="55"/>
    <x v="2"/>
    <x v="2"/>
    <x v="7"/>
    <x v="0"/>
    <x v="0"/>
    <n v="180"/>
    <x v="2"/>
    <x v="5"/>
    <x v="3"/>
    <x v="5"/>
    <x v="0"/>
    <n v="230"/>
    <x v="209"/>
  </r>
  <r>
    <s v="ORD1467"/>
    <x v="21"/>
    <x v="27"/>
    <x v="1"/>
    <n v="50"/>
    <x v="4"/>
    <x v="4"/>
    <x v="3"/>
    <x v="2"/>
    <x v="7"/>
    <n v="2"/>
    <x v="0"/>
    <x v="3"/>
    <x v="2"/>
    <x v="0"/>
    <x v="0"/>
    <n v="52"/>
    <x v="212"/>
  </r>
  <r>
    <s v="ORD1468"/>
    <x v="39"/>
    <x v="27"/>
    <x v="0"/>
    <n v="20"/>
    <x v="4"/>
    <x v="4"/>
    <x v="1"/>
    <x v="1"/>
    <x v="6"/>
    <n v="120"/>
    <x v="1"/>
    <x v="0"/>
    <x v="3"/>
    <x v="0"/>
    <x v="0"/>
    <n v="170"/>
    <x v="80"/>
  </r>
  <r>
    <s v="ORD1469"/>
    <x v="95"/>
    <x v="24"/>
    <x v="1"/>
    <n v="28"/>
    <x v="0"/>
    <x v="0"/>
    <x v="2"/>
    <x v="0"/>
    <x v="3"/>
    <n v="15"/>
    <x v="2"/>
    <x v="0"/>
    <x v="2"/>
    <x v="0"/>
    <x v="0"/>
    <n v="65"/>
    <x v="49"/>
  </r>
  <r>
    <s v="ORD1470"/>
    <x v="32"/>
    <x v="21"/>
    <x v="1"/>
    <n v="20"/>
    <x v="1"/>
    <x v="1"/>
    <x v="0"/>
    <x v="0"/>
    <x v="9"/>
    <n v="850"/>
    <x v="0"/>
    <x v="1"/>
    <x v="0"/>
    <x v="5"/>
    <x v="0"/>
    <n v="900"/>
    <x v="54"/>
  </r>
  <r>
    <s v="ORD1471"/>
    <x v="167"/>
    <x v="6"/>
    <x v="0"/>
    <n v="20"/>
    <x v="1"/>
    <x v="1"/>
    <x v="7"/>
    <x v="0"/>
    <x v="7"/>
    <n v="180"/>
    <x v="0"/>
    <x v="0"/>
    <x v="3"/>
    <x v="0"/>
    <x v="0"/>
    <n v="230"/>
    <x v="48"/>
  </r>
  <r>
    <s v="ORD1472"/>
    <x v="160"/>
    <x v="37"/>
    <x v="1"/>
    <n v="38"/>
    <x v="0"/>
    <x v="0"/>
    <x v="0"/>
    <x v="0"/>
    <x v="0"/>
    <n v="850"/>
    <x v="3"/>
    <x v="1"/>
    <x v="0"/>
    <x v="5"/>
    <x v="0"/>
    <n v="900"/>
    <x v="172"/>
  </r>
  <r>
    <s v="ORD1473"/>
    <x v="105"/>
    <x v="26"/>
    <x v="1"/>
    <n v="41"/>
    <x v="2"/>
    <x v="2"/>
    <x v="5"/>
    <x v="0"/>
    <x v="9"/>
    <n v="500"/>
    <x v="0"/>
    <x v="1"/>
    <x v="2"/>
    <x v="3"/>
    <x v="0"/>
    <n v="550"/>
    <x v="206"/>
  </r>
  <r>
    <s v="ORD1474"/>
    <x v="74"/>
    <x v="26"/>
    <x v="1"/>
    <n v="33"/>
    <x v="0"/>
    <x v="0"/>
    <x v="1"/>
    <x v="1"/>
    <x v="2"/>
    <n v="120"/>
    <x v="0"/>
    <x v="1"/>
    <x v="2"/>
    <x v="3"/>
    <x v="0"/>
    <n v="170"/>
    <x v="72"/>
  </r>
  <r>
    <s v="ORD1475"/>
    <x v="49"/>
    <x v="31"/>
    <x v="1"/>
    <n v="27"/>
    <x v="1"/>
    <x v="1"/>
    <x v="4"/>
    <x v="2"/>
    <x v="0"/>
    <n v="5"/>
    <x v="1"/>
    <x v="1"/>
    <x v="0"/>
    <x v="0"/>
    <x v="0"/>
    <n v="55"/>
    <x v="41"/>
  </r>
  <r>
    <s v="ORD1476"/>
    <x v="160"/>
    <x v="19"/>
    <x v="1"/>
    <n v="40"/>
    <x v="3"/>
    <x v="3"/>
    <x v="6"/>
    <x v="1"/>
    <x v="1"/>
    <n v="80"/>
    <x v="2"/>
    <x v="4"/>
    <x v="3"/>
    <x v="5"/>
    <x v="0"/>
    <n v="130"/>
    <x v="194"/>
  </r>
  <r>
    <s v="ORD1477"/>
    <x v="69"/>
    <x v="36"/>
    <x v="0"/>
    <n v="42"/>
    <x v="2"/>
    <x v="2"/>
    <x v="4"/>
    <x v="2"/>
    <x v="3"/>
    <n v="5"/>
    <x v="3"/>
    <x v="1"/>
    <x v="3"/>
    <x v="2"/>
    <x v="0"/>
    <n v="55"/>
    <x v="154"/>
  </r>
  <r>
    <s v="ORD1478"/>
    <x v="56"/>
    <x v="4"/>
    <x v="0"/>
    <n v="23"/>
    <x v="2"/>
    <x v="2"/>
    <x v="0"/>
    <x v="0"/>
    <x v="7"/>
    <n v="850"/>
    <x v="3"/>
    <x v="1"/>
    <x v="3"/>
    <x v="3"/>
    <x v="0"/>
    <n v="900"/>
    <x v="155"/>
  </r>
  <r>
    <s v="ORD1479"/>
    <x v="32"/>
    <x v="47"/>
    <x v="1"/>
    <n v="51"/>
    <x v="1"/>
    <x v="1"/>
    <x v="5"/>
    <x v="0"/>
    <x v="4"/>
    <n v="500"/>
    <x v="0"/>
    <x v="2"/>
    <x v="1"/>
    <x v="5"/>
    <x v="0"/>
    <n v="550"/>
    <x v="103"/>
  </r>
  <r>
    <s v="ORD1480"/>
    <x v="28"/>
    <x v="38"/>
    <x v="0"/>
    <n v="30"/>
    <x v="0"/>
    <x v="0"/>
    <x v="6"/>
    <x v="1"/>
    <x v="5"/>
    <n v="80"/>
    <x v="2"/>
    <x v="1"/>
    <x v="1"/>
    <x v="0"/>
    <x v="0"/>
    <n v="130"/>
    <x v="7"/>
  </r>
  <r>
    <s v="ORD1481"/>
    <x v="140"/>
    <x v="8"/>
    <x v="1"/>
    <n v="34"/>
    <x v="1"/>
    <x v="1"/>
    <x v="3"/>
    <x v="2"/>
    <x v="6"/>
    <n v="2"/>
    <x v="1"/>
    <x v="3"/>
    <x v="1"/>
    <x v="4"/>
    <x v="0"/>
    <n v="52"/>
    <x v="78"/>
  </r>
  <r>
    <s v="ORD1482"/>
    <x v="68"/>
    <x v="17"/>
    <x v="0"/>
    <n v="51"/>
    <x v="3"/>
    <x v="3"/>
    <x v="1"/>
    <x v="1"/>
    <x v="3"/>
    <n v="120"/>
    <x v="1"/>
    <x v="0"/>
    <x v="0"/>
    <x v="3"/>
    <x v="0"/>
    <n v="170"/>
    <x v="213"/>
  </r>
  <r>
    <s v="ORD1483"/>
    <x v="48"/>
    <x v="16"/>
    <x v="0"/>
    <n v="20"/>
    <x v="4"/>
    <x v="4"/>
    <x v="2"/>
    <x v="0"/>
    <x v="1"/>
    <n v="15"/>
    <x v="0"/>
    <x v="2"/>
    <x v="0"/>
    <x v="2"/>
    <x v="0"/>
    <n v="65"/>
    <x v="138"/>
  </r>
  <r>
    <s v="ORD1484"/>
    <x v="6"/>
    <x v="10"/>
    <x v="1"/>
    <n v="39"/>
    <x v="1"/>
    <x v="1"/>
    <x v="5"/>
    <x v="0"/>
    <x v="9"/>
    <n v="500"/>
    <x v="1"/>
    <x v="5"/>
    <x v="0"/>
    <x v="1"/>
    <x v="0"/>
    <n v="550"/>
    <x v="214"/>
  </r>
  <r>
    <s v="ORD1485"/>
    <x v="44"/>
    <x v="7"/>
    <x v="1"/>
    <n v="41"/>
    <x v="4"/>
    <x v="4"/>
    <x v="2"/>
    <x v="0"/>
    <x v="9"/>
    <n v="15"/>
    <x v="0"/>
    <x v="5"/>
    <x v="1"/>
    <x v="3"/>
    <x v="0"/>
    <n v="65"/>
    <x v="18"/>
  </r>
  <r>
    <s v="ORD1486"/>
    <x v="52"/>
    <x v="21"/>
    <x v="1"/>
    <n v="58"/>
    <x v="0"/>
    <x v="0"/>
    <x v="3"/>
    <x v="2"/>
    <x v="0"/>
    <n v="2"/>
    <x v="3"/>
    <x v="4"/>
    <x v="1"/>
    <x v="4"/>
    <x v="0"/>
    <n v="52"/>
    <x v="78"/>
  </r>
  <r>
    <s v="ORD1487"/>
    <x v="168"/>
    <x v="17"/>
    <x v="1"/>
    <n v="41"/>
    <x v="4"/>
    <x v="4"/>
    <x v="7"/>
    <x v="0"/>
    <x v="2"/>
    <n v="180"/>
    <x v="0"/>
    <x v="5"/>
    <x v="0"/>
    <x v="1"/>
    <x v="0"/>
    <n v="230"/>
    <x v="215"/>
  </r>
  <r>
    <s v="ORD1488"/>
    <x v="153"/>
    <x v="35"/>
    <x v="0"/>
    <n v="23"/>
    <x v="2"/>
    <x v="2"/>
    <x v="6"/>
    <x v="1"/>
    <x v="0"/>
    <n v="80"/>
    <x v="2"/>
    <x v="0"/>
    <x v="0"/>
    <x v="2"/>
    <x v="0"/>
    <n v="130"/>
    <x v="122"/>
  </r>
  <r>
    <s v="ORD1489"/>
    <x v="12"/>
    <x v="18"/>
    <x v="0"/>
    <n v="36"/>
    <x v="2"/>
    <x v="2"/>
    <x v="6"/>
    <x v="1"/>
    <x v="6"/>
    <n v="80"/>
    <x v="0"/>
    <x v="3"/>
    <x v="2"/>
    <x v="1"/>
    <x v="0"/>
    <n v="130"/>
    <x v="181"/>
  </r>
  <r>
    <s v="ORD1490"/>
    <x v="131"/>
    <x v="25"/>
    <x v="0"/>
    <n v="25"/>
    <x v="2"/>
    <x v="2"/>
    <x v="6"/>
    <x v="1"/>
    <x v="4"/>
    <n v="80"/>
    <x v="1"/>
    <x v="5"/>
    <x v="2"/>
    <x v="2"/>
    <x v="0"/>
    <n v="130"/>
    <x v="90"/>
  </r>
  <r>
    <s v="ORD1491"/>
    <x v="87"/>
    <x v="11"/>
    <x v="1"/>
    <n v="35"/>
    <x v="3"/>
    <x v="3"/>
    <x v="7"/>
    <x v="0"/>
    <x v="7"/>
    <n v="180"/>
    <x v="3"/>
    <x v="5"/>
    <x v="1"/>
    <x v="0"/>
    <x v="0"/>
    <n v="230"/>
    <x v="216"/>
  </r>
  <r>
    <s v="ORD1492"/>
    <x v="62"/>
    <x v="42"/>
    <x v="0"/>
    <n v="43"/>
    <x v="0"/>
    <x v="0"/>
    <x v="2"/>
    <x v="0"/>
    <x v="1"/>
    <n v="15"/>
    <x v="0"/>
    <x v="0"/>
    <x v="3"/>
    <x v="2"/>
    <x v="0"/>
    <n v="65"/>
    <x v="138"/>
  </r>
  <r>
    <s v="ORD1493"/>
    <x v="113"/>
    <x v="1"/>
    <x v="1"/>
    <n v="43"/>
    <x v="2"/>
    <x v="2"/>
    <x v="0"/>
    <x v="0"/>
    <x v="9"/>
    <n v="850"/>
    <x v="2"/>
    <x v="1"/>
    <x v="3"/>
    <x v="4"/>
    <x v="0"/>
    <n v="900"/>
    <x v="217"/>
  </r>
  <r>
    <s v="ORD1494"/>
    <x v="62"/>
    <x v="13"/>
    <x v="0"/>
    <n v="33"/>
    <x v="0"/>
    <x v="0"/>
    <x v="7"/>
    <x v="0"/>
    <x v="1"/>
    <n v="180"/>
    <x v="3"/>
    <x v="0"/>
    <x v="1"/>
    <x v="2"/>
    <x v="0"/>
    <n v="230"/>
    <x v="126"/>
  </r>
  <r>
    <s v="ORD1495"/>
    <x v="64"/>
    <x v="32"/>
    <x v="1"/>
    <n v="31"/>
    <x v="1"/>
    <x v="1"/>
    <x v="2"/>
    <x v="0"/>
    <x v="2"/>
    <n v="15"/>
    <x v="0"/>
    <x v="0"/>
    <x v="2"/>
    <x v="1"/>
    <x v="0"/>
    <n v="65"/>
    <x v="156"/>
  </r>
  <r>
    <s v="ORD1496"/>
    <x v="163"/>
    <x v="9"/>
    <x v="1"/>
    <n v="51"/>
    <x v="4"/>
    <x v="4"/>
    <x v="7"/>
    <x v="0"/>
    <x v="5"/>
    <n v="180"/>
    <x v="0"/>
    <x v="5"/>
    <x v="2"/>
    <x v="2"/>
    <x v="0"/>
    <n v="230"/>
    <x v="112"/>
  </r>
  <r>
    <s v="ORD1497"/>
    <x v="119"/>
    <x v="27"/>
    <x v="0"/>
    <n v="26"/>
    <x v="4"/>
    <x v="4"/>
    <x v="1"/>
    <x v="1"/>
    <x v="7"/>
    <n v="120"/>
    <x v="3"/>
    <x v="2"/>
    <x v="0"/>
    <x v="2"/>
    <x v="0"/>
    <n v="170"/>
    <x v="14"/>
  </r>
  <r>
    <s v="ORD1498"/>
    <x v="32"/>
    <x v="19"/>
    <x v="0"/>
    <n v="37"/>
    <x v="1"/>
    <x v="1"/>
    <x v="3"/>
    <x v="2"/>
    <x v="6"/>
    <n v="2"/>
    <x v="2"/>
    <x v="0"/>
    <x v="0"/>
    <x v="5"/>
    <x v="0"/>
    <n v="52"/>
    <x v="68"/>
  </r>
  <r>
    <s v="ORD1499"/>
    <x v="118"/>
    <x v="47"/>
    <x v="0"/>
    <n v="31"/>
    <x v="0"/>
    <x v="0"/>
    <x v="7"/>
    <x v="0"/>
    <x v="5"/>
    <n v="180"/>
    <x v="1"/>
    <x v="2"/>
    <x v="3"/>
    <x v="4"/>
    <x v="0"/>
    <n v="230"/>
    <x v="167"/>
  </r>
  <r>
    <s v="ORD1500"/>
    <x v="78"/>
    <x v="26"/>
    <x v="1"/>
    <n v="28"/>
    <x v="2"/>
    <x v="2"/>
    <x v="0"/>
    <x v="0"/>
    <x v="0"/>
    <n v="850"/>
    <x v="0"/>
    <x v="5"/>
    <x v="3"/>
    <x v="2"/>
    <x v="0"/>
    <n v="900"/>
    <x v="0"/>
  </r>
  <r>
    <s v="ORD1501"/>
    <x v="75"/>
    <x v="26"/>
    <x v="1"/>
    <n v="26"/>
    <x v="0"/>
    <x v="0"/>
    <x v="1"/>
    <x v="1"/>
    <x v="6"/>
    <n v="120"/>
    <x v="3"/>
    <x v="1"/>
    <x v="2"/>
    <x v="2"/>
    <x v="0"/>
    <n v="170"/>
    <x v="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98FFB6-71C7-4107-895E-AF629328339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1:B56" firstHeaderRow="1" firstDataRow="1" firstDataCol="1"/>
  <pivotFields count="18">
    <pivotField dataField="1" showAll="0"/>
    <pivotField showAll="0"/>
    <pivotField showAll="0"/>
    <pivotField showAll="0">
      <items count="3">
        <item h="1" x="1"/>
        <item x="0"/>
        <item t="default"/>
      </items>
    </pivotField>
    <pivotField showAll="0"/>
    <pivotField showAll="0"/>
    <pivotField showAll="0">
      <items count="6">
        <item x="1"/>
        <item x="4"/>
        <item x="3"/>
        <item x="0"/>
        <item x="2"/>
        <item t="default"/>
      </items>
    </pivotField>
    <pivotField showAll="0"/>
    <pivotField showAll="0">
      <items count="4">
        <item x="0"/>
        <item x="1"/>
        <item x="2"/>
        <item t="default"/>
      </items>
    </pivotField>
    <pivotField showAll="0"/>
    <pivotField numFmtId="165" showAll="0"/>
    <pivotField axis="axisRow" numFmtId="165" showAll="0">
      <items count="5">
        <item x="1"/>
        <item x="0"/>
        <item x="3"/>
        <item x="2"/>
        <item t="default"/>
      </items>
    </pivotField>
    <pivotField showAll="0">
      <items count="7">
        <item x="3"/>
        <item x="5"/>
        <item x="4"/>
        <item x="2"/>
        <item x="0"/>
        <item x="1"/>
        <item t="default"/>
      </items>
    </pivotField>
    <pivotField showAll="0">
      <items count="5">
        <item x="1"/>
        <item x="0"/>
        <item x="2"/>
        <item x="3"/>
        <item t="default"/>
      </items>
    </pivotField>
    <pivotField showAll="0"/>
    <pivotField showAll="0"/>
    <pivotField numFmtId="164" showAll="0"/>
    <pivotField numFmtId="165" showAll="0"/>
  </pivotFields>
  <rowFields count="1">
    <field x="11"/>
  </rowFields>
  <rowItems count="5">
    <i>
      <x/>
    </i>
    <i>
      <x v="1"/>
    </i>
    <i>
      <x v="2"/>
    </i>
    <i>
      <x v="3"/>
    </i>
    <i t="grand">
      <x/>
    </i>
  </rowItems>
  <colItems count="1">
    <i/>
  </colItems>
  <dataFields count="1">
    <dataField name="Count of Order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60AEC9-9295-4A19-8077-4CA1A82897E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8:B71" firstHeaderRow="1" firstDataRow="1" firstDataCol="1"/>
  <pivotFields count="18">
    <pivotField dataField="1" showAll="0"/>
    <pivotField showAll="0"/>
    <pivotField showAll="0"/>
    <pivotField axis="axisRow" showAll="0">
      <items count="3">
        <item x="1"/>
        <item x="0"/>
        <item t="default"/>
      </items>
    </pivotField>
    <pivotField showAll="0"/>
    <pivotField showAll="0"/>
    <pivotField showAll="0"/>
    <pivotField showAll="0"/>
    <pivotField showAll="0"/>
    <pivotField showAll="0"/>
    <pivotField numFmtId="165" showAll="0"/>
    <pivotField numFmtId="165" showAll="0"/>
    <pivotField showAll="0"/>
    <pivotField showAll="0"/>
    <pivotField showAll="0"/>
    <pivotField showAll="0"/>
    <pivotField numFmtId="164" showAll="0"/>
    <pivotField numFmtId="165" showAll="0"/>
  </pivotFields>
  <rowFields count="1">
    <field x="3"/>
  </rowFields>
  <rowItems count="3">
    <i>
      <x/>
    </i>
    <i>
      <x v="1"/>
    </i>
    <i t="grand">
      <x/>
    </i>
  </rowItems>
  <colItems count="1">
    <i/>
  </colItems>
  <dataFields count="1">
    <dataField name="Count of OrderID"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FB8A5E-0358-4124-9862-DB42102CB61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2:N6" firstHeaderRow="1" firstDataRow="1" firstDataCol="1"/>
  <pivotFields count="18">
    <pivotField showAll="0"/>
    <pivotField showAll="0"/>
    <pivotField showAll="0"/>
    <pivotField showAll="0">
      <items count="3">
        <item h="1" x="1"/>
        <item x="0"/>
        <item t="default"/>
      </items>
    </pivotField>
    <pivotField showAll="0"/>
    <pivotField showAll="0"/>
    <pivotField showAll="0">
      <items count="6">
        <item x="1"/>
        <item x="4"/>
        <item x="3"/>
        <item x="0"/>
        <item x="2"/>
        <item t="default"/>
      </items>
    </pivotField>
    <pivotField showAll="0"/>
    <pivotField axis="axisRow" showAll="0">
      <items count="4">
        <item x="0"/>
        <item x="1"/>
        <item x="2"/>
        <item t="default"/>
      </items>
    </pivotField>
    <pivotField dataField="1" showAll="0"/>
    <pivotField numFmtId="165" showAll="0"/>
    <pivotField numFmtId="165" showAll="0"/>
    <pivotField showAll="0">
      <items count="7">
        <item x="3"/>
        <item x="5"/>
        <item x="4"/>
        <item x="2"/>
        <item x="0"/>
        <item x="1"/>
        <item t="default"/>
      </items>
    </pivotField>
    <pivotField showAll="0">
      <items count="5">
        <item x="1"/>
        <item x="0"/>
        <item x="2"/>
        <item x="3"/>
        <item t="default"/>
      </items>
    </pivotField>
    <pivotField showAll="0"/>
    <pivotField showAll="0"/>
    <pivotField numFmtId="164" showAll="0"/>
    <pivotField numFmtId="165" showAll="0"/>
  </pivotFields>
  <rowFields count="1">
    <field x="8"/>
  </rowFields>
  <rowItems count="4">
    <i>
      <x/>
    </i>
    <i>
      <x v="1"/>
    </i>
    <i>
      <x v="2"/>
    </i>
    <i t="grand">
      <x/>
    </i>
  </rowItems>
  <colItems count="1">
    <i/>
  </colItems>
  <dataFields count="1">
    <dataField name="Sum of Quantity" fld="9"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F9BE8A-A348-41C5-A8A7-5CF07AD2585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4:B40" firstHeaderRow="1" firstDataRow="1" firstDataCol="1"/>
  <pivotFields count="18">
    <pivotField showAll="0"/>
    <pivotField showAll="0"/>
    <pivotField dataField="1" showAll="0"/>
    <pivotField showAll="0">
      <items count="3">
        <item h="1" x="1"/>
        <item x="0"/>
        <item t="default"/>
      </items>
    </pivotField>
    <pivotField showAll="0"/>
    <pivotField showAll="0"/>
    <pivotField axis="axisRow" showAll="0">
      <items count="6">
        <item x="1"/>
        <item x="4"/>
        <item x="3"/>
        <item x="0"/>
        <item x="2"/>
        <item t="default"/>
      </items>
    </pivotField>
    <pivotField showAll="0"/>
    <pivotField showAll="0">
      <items count="4">
        <item x="0"/>
        <item x="1"/>
        <item x="2"/>
        <item t="default"/>
      </items>
    </pivotField>
    <pivotField showAll="0"/>
    <pivotField numFmtId="165" showAll="0"/>
    <pivotField numFmtId="165" showAll="0"/>
    <pivotField showAll="0">
      <items count="7">
        <item x="3"/>
        <item x="5"/>
        <item x="4"/>
        <item x="2"/>
        <item x="0"/>
        <item x="1"/>
        <item t="default"/>
      </items>
    </pivotField>
    <pivotField showAll="0">
      <items count="5">
        <item x="1"/>
        <item x="0"/>
        <item x="2"/>
        <item x="3"/>
        <item t="default"/>
      </items>
    </pivotField>
    <pivotField showAll="0"/>
    <pivotField showAll="0"/>
    <pivotField numFmtId="164" showAll="0"/>
    <pivotField numFmtId="165" showAll="0"/>
  </pivotFields>
  <rowFields count="1">
    <field x="6"/>
  </rowFields>
  <rowItems count="6">
    <i>
      <x/>
    </i>
    <i>
      <x v="1"/>
    </i>
    <i>
      <x v="2"/>
    </i>
    <i>
      <x v="3"/>
    </i>
    <i>
      <x v="4"/>
    </i>
    <i t="grand">
      <x/>
    </i>
  </rowItems>
  <colItems count="1">
    <i/>
  </colItems>
  <dataFields count="1">
    <dataField name="Count of Customer" fld="2" subtotal="count" baseField="0" baseItem="0"/>
  </dataField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C8FC75-20DC-410E-9EBA-27017EB0972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34:N40" firstHeaderRow="1" firstDataRow="1" firstDataCol="1"/>
  <pivotFields count="18">
    <pivotField dataField="1" showAll="0"/>
    <pivotField showAll="0"/>
    <pivotField showAll="0"/>
    <pivotField showAll="0">
      <items count="3">
        <item h="1" x="1"/>
        <item x="0"/>
        <item t="default"/>
      </items>
    </pivotField>
    <pivotField showAll="0"/>
    <pivotField axis="axisRow" showAll="0">
      <items count="6">
        <item x="1"/>
        <item x="3"/>
        <item x="4"/>
        <item x="2"/>
        <item x="0"/>
        <item t="default"/>
      </items>
    </pivotField>
    <pivotField showAll="0">
      <items count="6">
        <item x="1"/>
        <item x="4"/>
        <item x="3"/>
        <item x="0"/>
        <item x="2"/>
        <item t="default"/>
      </items>
    </pivotField>
    <pivotField showAll="0"/>
    <pivotField showAll="0">
      <items count="4">
        <item x="0"/>
        <item x="1"/>
        <item x="2"/>
        <item t="default"/>
      </items>
    </pivotField>
    <pivotField showAll="0"/>
    <pivotField numFmtId="165" showAll="0"/>
    <pivotField numFmtId="165" showAll="0"/>
    <pivotField showAll="0">
      <items count="7">
        <item x="3"/>
        <item x="5"/>
        <item x="4"/>
        <item x="2"/>
        <item x="0"/>
        <item x="1"/>
        <item t="default"/>
      </items>
    </pivotField>
    <pivotField showAll="0">
      <items count="5">
        <item x="1"/>
        <item x="0"/>
        <item x="2"/>
        <item x="3"/>
        <item t="default"/>
      </items>
    </pivotField>
    <pivotField showAll="0"/>
    <pivotField showAll="0"/>
    <pivotField numFmtId="164" showAll="0"/>
    <pivotField numFmtId="165" showAll="0"/>
  </pivotFields>
  <rowFields count="1">
    <field x="5"/>
  </rowFields>
  <rowItems count="6">
    <i>
      <x/>
    </i>
    <i>
      <x v="1"/>
    </i>
    <i>
      <x v="2"/>
    </i>
    <i>
      <x v="3"/>
    </i>
    <i>
      <x v="4"/>
    </i>
    <i t="grand">
      <x/>
    </i>
  </rowItems>
  <colItems count="1">
    <i/>
  </colItems>
  <dataFields count="1">
    <dataField name="Count of Order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33DE21-D6CE-4A48-8694-BEFD46A6BCF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17:N22" firstHeaderRow="1" firstDataRow="1" firstDataCol="1"/>
  <pivotFields count="18">
    <pivotField dataField="1" showAll="0"/>
    <pivotField showAll="0"/>
    <pivotField showAll="0"/>
    <pivotField showAll="0">
      <items count="3">
        <item h="1" x="1"/>
        <item x="0"/>
        <item t="default"/>
      </items>
    </pivotField>
    <pivotField showAll="0"/>
    <pivotField showAll="0"/>
    <pivotField showAll="0">
      <items count="6">
        <item x="1"/>
        <item x="4"/>
        <item x="3"/>
        <item x="0"/>
        <item x="2"/>
        <item t="default"/>
      </items>
    </pivotField>
    <pivotField showAll="0"/>
    <pivotField showAll="0">
      <items count="4">
        <item x="0"/>
        <item x="1"/>
        <item x="2"/>
        <item t="default"/>
      </items>
    </pivotField>
    <pivotField showAll="0"/>
    <pivotField numFmtId="165" showAll="0"/>
    <pivotField numFmtId="165" showAll="0"/>
    <pivotField showAll="0">
      <items count="7">
        <item x="3"/>
        <item x="5"/>
        <item x="4"/>
        <item x="2"/>
        <item x="0"/>
        <item x="1"/>
        <item t="default"/>
      </items>
    </pivotField>
    <pivotField axis="axisRow" showAll="0">
      <items count="5">
        <item x="1"/>
        <item x="0"/>
        <item x="2"/>
        <item x="3"/>
        <item t="default"/>
      </items>
    </pivotField>
    <pivotField showAll="0"/>
    <pivotField showAll="0"/>
    <pivotField numFmtId="164" showAll="0"/>
    <pivotField numFmtId="165" showAll="0"/>
  </pivotFields>
  <rowFields count="1">
    <field x="13"/>
  </rowFields>
  <rowItems count="5">
    <i>
      <x/>
    </i>
    <i>
      <x v="1"/>
    </i>
    <i>
      <x v="2"/>
    </i>
    <i>
      <x v="3"/>
    </i>
    <i t="grand">
      <x/>
    </i>
  </rowItems>
  <colItems count="1">
    <i/>
  </colItems>
  <dataFields count="1">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EC672E-584F-427F-8D59-6190F1EA28F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51:N60" firstHeaderRow="1" firstDataRow="1" firstDataCol="1"/>
  <pivotFields count="18">
    <pivotField showAll="0"/>
    <pivotField showAll="0"/>
    <pivotField showAll="0"/>
    <pivotField showAll="0">
      <items count="3">
        <item h="1" x="1"/>
        <item x="0"/>
        <item t="default"/>
      </items>
    </pivotField>
    <pivotField showAll="0"/>
    <pivotField showAll="0"/>
    <pivotField showAll="0">
      <items count="6">
        <item x="1"/>
        <item x="4"/>
        <item x="3"/>
        <item x="0"/>
        <item x="2"/>
        <item t="default"/>
      </items>
    </pivotField>
    <pivotField axis="axisRow" showAll="0">
      <items count="9">
        <item x="6"/>
        <item x="1"/>
        <item x="0"/>
        <item x="2"/>
        <item x="4"/>
        <item x="3"/>
        <item x="5"/>
        <item x="7"/>
        <item t="default"/>
      </items>
    </pivotField>
    <pivotField showAll="0">
      <items count="4">
        <item x="0"/>
        <item x="1"/>
        <item x="2"/>
        <item t="default"/>
      </items>
    </pivotField>
    <pivotField showAll="0"/>
    <pivotField numFmtId="165" showAll="0"/>
    <pivotField numFmtId="165" showAll="0"/>
    <pivotField showAll="0">
      <items count="7">
        <item x="3"/>
        <item x="5"/>
        <item x="4"/>
        <item x="2"/>
        <item x="0"/>
        <item x="1"/>
        <item t="default"/>
      </items>
    </pivotField>
    <pivotField showAll="0">
      <items count="5">
        <item x="1"/>
        <item x="0"/>
        <item x="2"/>
        <item x="3"/>
        <item t="default"/>
      </items>
    </pivotField>
    <pivotField showAll="0"/>
    <pivotField showAll="0"/>
    <pivotField numFmtId="164" showAll="0"/>
    <pivotField dataField="1" numFmtId="165" showAll="0"/>
  </pivotFields>
  <rowFields count="1">
    <field x="7"/>
  </rowFields>
  <rowItems count="9">
    <i>
      <x/>
    </i>
    <i>
      <x v="1"/>
    </i>
    <i>
      <x v="2"/>
    </i>
    <i>
      <x v="3"/>
    </i>
    <i>
      <x v="4"/>
    </i>
    <i>
      <x v="5"/>
    </i>
    <i>
      <x v="6"/>
    </i>
    <i>
      <x v="7"/>
    </i>
    <i t="grand">
      <x/>
    </i>
  </rowItems>
  <colItems count="1">
    <i/>
  </colItems>
  <dataFields count="1">
    <dataField name="Sum of Total Sales Price" fld="17"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F951CA-B174-4A91-9DA0-AE77DBEF18A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Y2:Z11" firstHeaderRow="1" firstDataRow="1" firstDataCol="1"/>
  <pivotFields count="18">
    <pivotField showAll="0"/>
    <pivotField showAll="0"/>
    <pivotField showAll="0"/>
    <pivotField showAll="0">
      <items count="3">
        <item h="1" x="1"/>
        <item x="0"/>
        <item t="default"/>
      </items>
    </pivotField>
    <pivotField showAll="0"/>
    <pivotField showAll="0"/>
    <pivotField showAll="0">
      <items count="6">
        <item x="1"/>
        <item x="4"/>
        <item x="3"/>
        <item x="0"/>
        <item x="2"/>
        <item t="default"/>
      </items>
    </pivotField>
    <pivotField axis="axisRow" showAll="0">
      <items count="9">
        <item x="6"/>
        <item x="1"/>
        <item x="0"/>
        <item x="2"/>
        <item x="4"/>
        <item x="3"/>
        <item x="5"/>
        <item x="7"/>
        <item t="default"/>
      </items>
    </pivotField>
    <pivotField showAll="0">
      <items count="4">
        <item x="0"/>
        <item x="1"/>
        <item x="2"/>
        <item t="default"/>
      </items>
    </pivotField>
    <pivotField dataField="1" showAll="0"/>
    <pivotField numFmtId="165" showAll="0"/>
    <pivotField numFmtId="165" showAll="0"/>
    <pivotField showAll="0">
      <items count="7">
        <item x="3"/>
        <item x="5"/>
        <item x="4"/>
        <item x="2"/>
        <item x="0"/>
        <item x="1"/>
        <item t="default"/>
      </items>
    </pivotField>
    <pivotField showAll="0">
      <items count="5">
        <item x="1"/>
        <item x="0"/>
        <item x="2"/>
        <item x="3"/>
        <item t="default"/>
      </items>
    </pivotField>
    <pivotField showAll="0"/>
    <pivotField showAll="0"/>
    <pivotField numFmtId="164" showAll="0"/>
    <pivotField numFmtId="165" showAll="0"/>
  </pivotFields>
  <rowFields count="1">
    <field x="7"/>
  </rowFields>
  <rowItems count="9">
    <i>
      <x/>
    </i>
    <i>
      <x v="1"/>
    </i>
    <i>
      <x v="2"/>
    </i>
    <i>
      <x v="3"/>
    </i>
    <i>
      <x v="4"/>
    </i>
    <i>
      <x v="5"/>
    </i>
    <i>
      <x v="6"/>
    </i>
    <i>
      <x v="7"/>
    </i>
    <i t="grand">
      <x/>
    </i>
  </rowItems>
  <colItems count="1">
    <i/>
  </colItems>
  <dataFields count="1">
    <dataField name="Sum of Quantity"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34F812-3288-4EF4-8151-FECF52FEBD74}" name="PivotTable2"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2:B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 Sales Price" fld="1" baseField="0" baseItem="0" numFmtId="165"/>
  </dataFields>
  <formats count="1">
    <format dxfId="43">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6 SALES PERFORMANCE OF BASLARD GADGET STOR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FD6153-B0F2-47AC-8550-D2585C23C30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Y51:Z58" firstHeaderRow="1" firstDataRow="1" firstDataCol="1"/>
  <pivotFields count="18">
    <pivotField showAll="0"/>
    <pivotField showAll="0"/>
    <pivotField showAll="0">
      <items count="49">
        <item x="12"/>
        <item x="29"/>
        <item x="1"/>
        <item x="17"/>
        <item x="34"/>
        <item x="18"/>
        <item x="4"/>
        <item x="14"/>
        <item x="2"/>
        <item x="6"/>
        <item x="46"/>
        <item x="42"/>
        <item x="21"/>
        <item x="19"/>
        <item x="32"/>
        <item x="27"/>
        <item x="43"/>
        <item x="39"/>
        <item x="36"/>
        <item x="8"/>
        <item x="24"/>
        <item x="16"/>
        <item x="37"/>
        <item x="35"/>
        <item x="23"/>
        <item x="20"/>
        <item x="38"/>
        <item x="13"/>
        <item x="30"/>
        <item x="5"/>
        <item x="10"/>
        <item x="0"/>
        <item x="28"/>
        <item x="22"/>
        <item x="40"/>
        <item x="9"/>
        <item x="15"/>
        <item x="3"/>
        <item x="44"/>
        <item x="45"/>
        <item x="41"/>
        <item x="31"/>
        <item x="26"/>
        <item x="11"/>
        <item x="33"/>
        <item x="47"/>
        <item x="7"/>
        <item x="25"/>
        <item t="default"/>
      </items>
    </pivotField>
    <pivotField showAll="0">
      <items count="3">
        <item h="1" x="1"/>
        <item x="0"/>
        <item t="default"/>
      </items>
    </pivotField>
    <pivotField showAll="0"/>
    <pivotField showAll="0"/>
    <pivotField showAll="0">
      <items count="6">
        <item x="1"/>
        <item x="4"/>
        <item x="3"/>
        <item x="0"/>
        <item x="2"/>
        <item t="default"/>
      </items>
    </pivotField>
    <pivotField showAll="0"/>
    <pivotField showAll="0">
      <items count="4">
        <item x="0"/>
        <item x="1"/>
        <item x="2"/>
        <item t="default"/>
      </items>
    </pivotField>
    <pivotField multipleItemSelectionAllowed="1" showAll="0">
      <items count="11">
        <item h="1" x="7"/>
        <item h="1" x="2"/>
        <item h="1" x="5"/>
        <item h="1" x="8"/>
        <item h="1" x="3"/>
        <item h="1" x="4"/>
        <item h="1" x="1"/>
        <item h="1" x="9"/>
        <item h="1" x="6"/>
        <item x="0"/>
        <item t="default"/>
      </items>
    </pivotField>
    <pivotField numFmtId="165" showAll="0"/>
    <pivotField numFmtId="165" showAll="0"/>
    <pivotField axis="axisRow" showAll="0">
      <items count="7">
        <item x="3"/>
        <item x="5"/>
        <item x="4"/>
        <item x="2"/>
        <item x="0"/>
        <item x="1"/>
        <item t="default"/>
      </items>
    </pivotField>
    <pivotField showAll="0">
      <items count="5">
        <item x="1"/>
        <item x="0"/>
        <item x="2"/>
        <item x="3"/>
        <item t="default"/>
      </items>
    </pivotField>
    <pivotField showAll="0"/>
    <pivotField showAll="0"/>
    <pivotField numFmtId="164" showAll="0"/>
    <pivotField dataField="1" numFmtId="165" multipleItemSelectionAllowed="1" showAll="0">
      <items count="219">
        <item h="1" x="130"/>
        <item h="1" x="182"/>
        <item h="1" x="197"/>
        <item h="1" x="212"/>
        <item h="1" x="85"/>
        <item h="1" x="187"/>
        <item h="1" x="204"/>
        <item h="1" x="12"/>
        <item h="1" x="46"/>
        <item h="1" x="82"/>
        <item h="1" x="86"/>
        <item h="1" x="8"/>
        <item h="1" x="118"/>
        <item h="1" x="111"/>
        <item h="1" x="113"/>
        <item h="1" x="179"/>
        <item h="1" x="67"/>
        <item h="1" x="35"/>
        <item h="1" x="156"/>
        <item h="1" x="95"/>
        <item h="1" x="19"/>
        <item h="1" x="26"/>
        <item h="1" x="133"/>
        <item h="1" x="136"/>
        <item h="1" x="14"/>
        <item h="1" x="91"/>
        <item h="1" x="36"/>
        <item h="1" x="168"/>
        <item h="1" x="42"/>
        <item h="1" x="169"/>
        <item h="1" x="70"/>
        <item h="1" x="37"/>
        <item h="1" x="144"/>
        <item h="1" x="139"/>
        <item h="1" x="10"/>
        <item h="1" x="23"/>
        <item h="1" x="124"/>
        <item h="1" x="99"/>
        <item h="1" x="216"/>
        <item h="1" x="171"/>
        <item h="1" x="50"/>
        <item h="1" x="48"/>
        <item h="1" x="59"/>
        <item h="1" x="15"/>
        <item h="1" x="203"/>
        <item h="1" x="9"/>
        <item h="1" x="56"/>
        <item h="1" x="33"/>
        <item h="1" x="154"/>
        <item h="1" x="16"/>
        <item h="1" x="76"/>
        <item h="1" x="73"/>
        <item h="1" x="34"/>
        <item h="1" x="49"/>
        <item h="1" x="147"/>
        <item h="1" x="58"/>
        <item h="1" x="65"/>
        <item h="1" x="185"/>
        <item h="1" x="170"/>
        <item h="1" x="29"/>
        <item h="1" x="72"/>
        <item h="1" x="6"/>
        <item h="1" x="109"/>
        <item h="1" x="178"/>
        <item h="1" x="53"/>
        <item h="1" x="7"/>
        <item h="1" x="57"/>
        <item h="1" x="188"/>
        <item h="1" x="115"/>
        <item h="1" x="145"/>
        <item h="1" x="190"/>
        <item h="1" x="51"/>
        <item h="1" x="38"/>
        <item h="1" x="160"/>
        <item h="1" x="198"/>
        <item h="1" x="142"/>
        <item h="1" x="189"/>
        <item h="1" x="161"/>
        <item h="1" x="45"/>
        <item h="1" x="68"/>
        <item h="1" x="208"/>
        <item h="1" x="140"/>
        <item h="1" x="138"/>
        <item h="1" x="215"/>
        <item h="1" x="166"/>
        <item h="1" x="152"/>
        <item h="1" x="125"/>
        <item h="1" x="158"/>
        <item h="1" x="79"/>
        <item h="1" x="184"/>
        <item h="1" x="21"/>
        <item h="1" x="195"/>
        <item h="1" x="78"/>
        <item h="1" x="18"/>
        <item h="1" x="131"/>
        <item h="1" x="39"/>
        <item h="1" x="200"/>
        <item h="1" x="143"/>
        <item h="1" x="164"/>
        <item h="1" x="41"/>
        <item h="1" x="134"/>
        <item h="1" x="89"/>
        <item h="1" x="93"/>
        <item h="1" x="192"/>
        <item h="1" x="205"/>
        <item h="1" x="27"/>
        <item h="1" x="141"/>
        <item h="1" x="174"/>
        <item h="1" x="112"/>
        <item h="1" x="25"/>
        <item h="1" x="167"/>
        <item h="1" x="177"/>
        <item h="1" x="4"/>
        <item h="1" x="186"/>
        <item h="1" x="194"/>
        <item h="1" x="90"/>
        <item h="1" x="117"/>
        <item h="1" x="3"/>
        <item h="1" x="155"/>
        <item h="1" x="129"/>
        <item h="1" x="213"/>
        <item h="1" x="43"/>
        <item h="1" x="121"/>
        <item h="1" x="96"/>
        <item h="1" x="162"/>
        <item h="1" x="61"/>
        <item h="1" x="137"/>
        <item h="1" x="207"/>
        <item h="1" x="81"/>
        <item h="1" x="211"/>
        <item h="1" x="150"/>
        <item h="1" x="98"/>
        <item h="1" x="66"/>
        <item h="1" x="24"/>
        <item h="1" x="183"/>
        <item h="1" x="5"/>
        <item h="1" x="127"/>
        <item h="1" x="122"/>
        <item h="1" x="181"/>
        <item h="1" x="135"/>
        <item h="1" x="151"/>
        <item h="1" x="92"/>
        <item h="1" x="74"/>
        <item h="1" x="55"/>
        <item h="1" x="64"/>
        <item h="1" x="62"/>
        <item h="1" x="84"/>
        <item h="1" x="110"/>
        <item h="1" x="106"/>
        <item h="1" x="108"/>
        <item h="1" x="196"/>
        <item h="1" x="157"/>
        <item h="1" x="102"/>
        <item h="1" x="149"/>
        <item h="1" x="17"/>
        <item h="1" x="100"/>
        <item h="1" x="126"/>
        <item h="1" x="119"/>
        <item h="1" x="163"/>
        <item h="1" x="80"/>
        <item h="1" x="44"/>
        <item h="1" x="199"/>
        <item h="1" x="202"/>
        <item h="1" x="40"/>
        <item h="1" x="191"/>
        <item h="1" x="28"/>
        <item h="1" x="22"/>
        <item h="1" x="2"/>
        <item h="1" x="75"/>
        <item h="1" x="63"/>
        <item h="1" x="123"/>
        <item h="1" x="210"/>
        <item h="1" x="209"/>
        <item h="1" x="94"/>
        <item h="1" x="116"/>
        <item h="1" x="146"/>
        <item h="1" x="175"/>
        <item h="1" x="101"/>
        <item h="1" x="13"/>
        <item h="1" x="176"/>
        <item h="1" x="153"/>
        <item h="1" x="31"/>
        <item h="1" x="69"/>
        <item h="1" x="77"/>
        <item h="1" x="201"/>
        <item h="1" x="159"/>
        <item h="1" x="103"/>
        <item h="1" x="88"/>
        <item h="1" x="114"/>
        <item h="1" x="120"/>
        <item h="1" x="148"/>
        <item h="1" x="132"/>
        <item h="1" x="128"/>
        <item h="1" x="107"/>
        <item h="1" x="52"/>
        <item h="1" x="104"/>
        <item h="1" x="206"/>
        <item h="1" x="87"/>
        <item h="1" x="214"/>
        <item h="1" x="60"/>
        <item h="1" x="20"/>
        <item h="1" x="165"/>
        <item h="1" x="105"/>
        <item h="1" x="83"/>
        <item h="1" x="11"/>
        <item h="1" x="180"/>
        <item h="1" x="32"/>
        <item h="1" x="71"/>
        <item x="217"/>
        <item x="1"/>
        <item x="54"/>
        <item x="30"/>
        <item x="193"/>
        <item x="47"/>
        <item x="97"/>
        <item x="172"/>
        <item x="0"/>
        <item x="173"/>
        <item t="default"/>
      </items>
    </pivotField>
  </pivotFields>
  <rowFields count="1">
    <field x="12"/>
  </rowFields>
  <rowItems count="7">
    <i>
      <x/>
    </i>
    <i>
      <x v="1"/>
    </i>
    <i>
      <x v="2"/>
    </i>
    <i>
      <x v="3"/>
    </i>
    <i>
      <x v="4"/>
    </i>
    <i>
      <x v="5"/>
    </i>
    <i t="grand">
      <x/>
    </i>
  </rowItems>
  <colItems count="1">
    <i/>
  </colItems>
  <dataFields count="1">
    <dataField name="Sum of Total Sales Price" fld="17" baseField="0" baseItem="0" numFmtId="165"/>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C67E89-DCC9-4A17-9802-967F44DA143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B24" firstHeaderRow="1" firstDataRow="1" firstDataCol="1"/>
  <pivotFields count="18">
    <pivotField showAll="0"/>
    <pivotField showAll="0"/>
    <pivotField showAll="0"/>
    <pivotField showAll="0">
      <items count="3">
        <item h="1" x="1"/>
        <item x="0"/>
        <item t="default"/>
      </items>
    </pivotField>
    <pivotField showAll="0"/>
    <pivotField showAll="0"/>
    <pivotField showAll="0">
      <items count="6">
        <item x="1"/>
        <item x="4"/>
        <item x="3"/>
        <item x="0"/>
        <item x="2"/>
        <item t="default"/>
      </items>
    </pivotField>
    <pivotField showAll="0"/>
    <pivotField showAll="0">
      <items count="4">
        <item x="0"/>
        <item x="1"/>
        <item x="2"/>
        <item t="default"/>
      </items>
    </pivotField>
    <pivotField dataField="1" showAll="0"/>
    <pivotField numFmtId="165" showAll="0"/>
    <pivotField numFmtId="165" showAll="0"/>
    <pivotField axis="axisRow" showAll="0">
      <items count="7">
        <item x="3"/>
        <item x="5"/>
        <item x="4"/>
        <item x="2"/>
        <item x="0"/>
        <item x="1"/>
        <item t="default"/>
      </items>
    </pivotField>
    <pivotField showAll="0">
      <items count="5">
        <item x="1"/>
        <item x="0"/>
        <item x="2"/>
        <item x="3"/>
        <item t="default"/>
      </items>
    </pivotField>
    <pivotField showAll="0"/>
    <pivotField showAll="0"/>
    <pivotField numFmtId="164" showAll="0"/>
    <pivotField numFmtId="165" showAll="0"/>
  </pivotFields>
  <rowFields count="1">
    <field x="12"/>
  </rowFields>
  <rowItems count="7">
    <i>
      <x/>
    </i>
    <i>
      <x v="1"/>
    </i>
    <i>
      <x v="2"/>
    </i>
    <i>
      <x v="3"/>
    </i>
    <i>
      <x v="4"/>
    </i>
    <i>
      <x v="5"/>
    </i>
    <i t="grand">
      <x/>
    </i>
  </rowItems>
  <colItems count="1">
    <i/>
  </colItems>
  <dataFields count="1">
    <dataField name="Sum of Quantity"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E5E937-D362-4D28-B962-082EFCA739F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Y34:Z41" firstHeaderRow="1" firstDataRow="1" firstDataCol="1"/>
  <pivotFields count="18">
    <pivotField showAll="0"/>
    <pivotField showAll="0"/>
    <pivotField showAll="0"/>
    <pivotField showAll="0">
      <items count="3">
        <item h="1" x="1"/>
        <item x="0"/>
        <item t="default"/>
      </items>
    </pivotField>
    <pivotField showAll="0"/>
    <pivotField showAll="0"/>
    <pivotField showAll="0">
      <items count="6">
        <item x="1"/>
        <item x="4"/>
        <item x="3"/>
        <item x="0"/>
        <item x="2"/>
        <item t="default"/>
      </items>
    </pivotField>
    <pivotField showAll="0"/>
    <pivotField showAll="0">
      <items count="4">
        <item x="0"/>
        <item x="1"/>
        <item x="2"/>
        <item t="default"/>
      </items>
    </pivotField>
    <pivotField dataField="1" showAll="0"/>
    <pivotField numFmtId="165" showAll="0"/>
    <pivotField numFmtId="165" showAll="0"/>
    <pivotField showAll="0">
      <items count="7">
        <item x="3"/>
        <item x="5"/>
        <item x="4"/>
        <item x="2"/>
        <item x="0"/>
        <item x="1"/>
        <item t="default"/>
      </items>
    </pivotField>
    <pivotField showAll="0">
      <items count="5">
        <item x="1"/>
        <item x="0"/>
        <item x="2"/>
        <item x="3"/>
        <item t="default"/>
      </items>
    </pivotField>
    <pivotField axis="axisRow" showAll="0">
      <items count="7">
        <item x="2"/>
        <item x="0"/>
        <item x="1"/>
        <item x="4"/>
        <item x="3"/>
        <item x="5"/>
        <item t="default"/>
      </items>
    </pivotField>
    <pivotField showAll="0">
      <items count="2">
        <item x="0"/>
        <item t="default"/>
      </items>
    </pivotField>
    <pivotField numFmtId="164" showAll="0"/>
    <pivotField numFmtId="165" showAll="0"/>
  </pivotFields>
  <rowFields count="1">
    <field x="14"/>
  </rowFields>
  <rowItems count="7">
    <i>
      <x/>
    </i>
    <i>
      <x v="1"/>
    </i>
    <i>
      <x v="2"/>
    </i>
    <i>
      <x v="3"/>
    </i>
    <i>
      <x v="4"/>
    </i>
    <i>
      <x v="5"/>
    </i>
    <i t="grand">
      <x/>
    </i>
  </rowItems>
  <colItems count="1">
    <i/>
  </colItems>
  <dataFields count="1">
    <dataField name="Sum of Quantity" fld="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E416B7-45D4-4060-A2AD-42FB9D25F13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Y17:Z24" firstHeaderRow="1" firstDataRow="1" firstDataCol="1"/>
  <pivotFields count="18">
    <pivotField dataField="1" showAll="0"/>
    <pivotField showAll="0"/>
    <pivotField showAll="0"/>
    <pivotField showAll="0">
      <items count="3">
        <item h="1" x="1"/>
        <item x="0"/>
        <item t="default"/>
      </items>
    </pivotField>
    <pivotField showAll="0"/>
    <pivotField showAll="0"/>
    <pivotField showAll="0">
      <items count="6">
        <item x="1"/>
        <item x="4"/>
        <item x="3"/>
        <item x="0"/>
        <item x="2"/>
        <item t="default"/>
      </items>
    </pivotField>
    <pivotField showAll="0"/>
    <pivotField showAll="0">
      <items count="4">
        <item x="0"/>
        <item x="1"/>
        <item x="2"/>
        <item t="default"/>
      </items>
    </pivotField>
    <pivotField showAll="0"/>
    <pivotField numFmtId="165" showAll="0"/>
    <pivotField numFmtId="165" showAll="0"/>
    <pivotField axis="axisRow" showAll="0">
      <items count="7">
        <item x="3"/>
        <item x="5"/>
        <item x="4"/>
        <item x="2"/>
        <item x="0"/>
        <item x="1"/>
        <item t="default"/>
      </items>
    </pivotField>
    <pivotField showAll="0">
      <items count="5">
        <item x="1"/>
        <item x="0"/>
        <item x="2"/>
        <item x="3"/>
        <item t="default"/>
      </items>
    </pivotField>
    <pivotField showAll="0"/>
    <pivotField showAll="0"/>
    <pivotField numFmtId="164" showAll="0"/>
    <pivotField numFmtId="165" showAll="0"/>
  </pivotFields>
  <rowFields count="1">
    <field x="12"/>
  </rowFields>
  <rowItems count="7">
    <i>
      <x/>
    </i>
    <i>
      <x v="1"/>
    </i>
    <i>
      <x v="2"/>
    </i>
    <i>
      <x v="3"/>
    </i>
    <i>
      <x v="4"/>
    </i>
    <i>
      <x v="5"/>
    </i>
    <i t="grand">
      <x/>
    </i>
  </rowItems>
  <colItems count="1">
    <i/>
  </colItems>
  <dataFields count="1">
    <dataField name="Count of OrderID" fld="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D42642A-FBB4-4610-AC6D-0BD630FA9353}" sourceName="Salesperson">
  <pivotTables>
    <pivotTable tabId="5" name="PivotTable13"/>
    <pivotTable tabId="5" name="PivotTable10"/>
    <pivotTable tabId="5" name="PivotTable11"/>
    <pivotTable tabId="5" name="PivotTable12"/>
    <pivotTable tabId="5" name="PivotTable4"/>
    <pivotTable tabId="5" name="PivotTable5"/>
    <pivotTable tabId="5" name="PivotTable6"/>
    <pivotTable tabId="5" name="PivotTable7"/>
    <pivotTable tabId="5" name="PivotTable8"/>
    <pivotTable tabId="5" name="PivotTable9"/>
    <pivotTable tabId="5" name="PivotTable3"/>
  </pivotTables>
  <data>
    <tabular pivotCacheId="230583201">
      <items count="6">
        <i x="3" s="1"/>
        <i x="5" s="1"/>
        <i x="4"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196706-1A07-4399-97A9-8B6D35C0597B}" sourceName="Region">
  <pivotTables>
    <pivotTable tabId="5" name="PivotTable13"/>
    <pivotTable tabId="5" name="PivotTable10"/>
    <pivotTable tabId="5" name="PivotTable11"/>
    <pivotTable tabId="5" name="PivotTable12"/>
    <pivotTable tabId="5" name="PivotTable3"/>
    <pivotTable tabId="5" name="PivotTable4"/>
    <pivotTable tabId="5" name="PivotTable5"/>
    <pivotTable tabId="5" name="PivotTable6"/>
    <pivotTable tabId="5" name="PivotTable7"/>
    <pivotTable tabId="5" name="PivotTable8"/>
    <pivotTable tabId="5" name="PivotTable9"/>
  </pivotTables>
  <data>
    <tabular pivotCacheId="230583201">
      <items count="5">
        <i x="1" s="1"/>
        <i x="4"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AD422A-D0AB-4ED9-B04B-EE921839471D}" sourceName="Category">
  <pivotTables>
    <pivotTable tabId="5" name="PivotTable13"/>
    <pivotTable tabId="5" name="PivotTable10"/>
    <pivotTable tabId="5" name="PivotTable11"/>
    <pivotTable tabId="5" name="PivotTable12"/>
    <pivotTable tabId="5" name="PivotTable3"/>
    <pivotTable tabId="5" name="PivotTable4"/>
    <pivotTable tabId="5" name="PivotTable5"/>
    <pivotTable tabId="5" name="PivotTable6"/>
    <pivotTable tabId="5" name="PivotTable7"/>
    <pivotTable tabId="5" name="PivotTable8"/>
    <pivotTable tabId="5" name="PivotTable9"/>
  </pivotTables>
  <data>
    <tabular pivotCacheId="23058320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BD1C562-1305-4AD3-9E1B-F0ADDBB98597}" sourceName="[Table1].[Month]">
  <pivotTables>
    <pivotTable tabId="5" name="PivotTable2"/>
  </pivotTables>
  <data>
    <olap pivotCacheId="1196321486">
      <levels count="2">
        <level uniqueName="[Table1].[Month].[(All)]" sourceCaption="(All)" count="0"/>
        <level uniqueName="[Table1].[Month].[Month]" sourceCaption="Month" count="6">
          <ranges>
            <range startItem="0">
              <i n="[Table1].[Month].&amp;[Apr]" c="Apr"/>
              <i n="[Table1].[Month].&amp;[Feb]" c="Feb"/>
              <i n="[Table1].[Month].&amp;[Jan]" c="Jan"/>
              <i n="[Table1].[Month].&amp;[Jun]" c="Jun"/>
              <i n="[Table1].[Month].&amp;[Mar]" c="Mar"/>
              <i n="[Table1].[Month].&amp;[May]" c="May"/>
            </range>
          </ranges>
        </level>
      </levels>
      <selections count="1">
        <selection n="[Table1].[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CDE5A4E5-29FA-4C20-AF9D-ED2F2E235542}" sourceName="[Table1].[PaymentMethod]">
  <pivotTables>
    <pivotTable tabId="5" name="PivotTable2"/>
  </pivotTables>
  <data>
    <olap pivotCacheId="1196321486">
      <levels count="2">
        <level uniqueName="[Table1].[PaymentMethod].[(All)]" sourceCaption="(All)" count="0"/>
        <level uniqueName="[Table1].[PaymentMethod].[PaymentMethod]" sourceCaption="PaymentMethod" count="4">
          <ranges>
            <range startItem="0">
              <i n="[Table1].[PaymentMethod].&amp;[Card]" c="Card"/>
              <i n="[Table1].[PaymentMethod].&amp;[Cash]" c="Cash"/>
              <i n="[Table1].[PaymentMethod].&amp;[POS]" c="POS"/>
              <i n="[Table1].[PaymentMethod].&amp;[Transfer]" c="Transfer"/>
            </range>
          </ranges>
        </level>
      </levels>
      <selections count="1">
        <selection n="[Table1].[PaymentMetho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5E6C132-3F77-4AA9-94C1-0545C1DA28F6}" sourceName="[Table1].[Gender]">
  <pivotTables>
    <pivotTable tabId="5" name="PivotTable2"/>
  </pivotTables>
  <data>
    <olap pivotCacheId="1196321486">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1" xr10:uid="{98A7BA9B-4DDF-4CC2-B5C1-C8985D9BD03D}" cache="Slicer_Salesperson" caption="Salesperson" rowHeight="241300"/>
  <slicer name="Region" xr10:uid="{3F735AE3-0238-4F25-8CA4-0DFF9C1EAF67}" cache="Slicer_Region" caption="Region" rowHeight="241300"/>
  <slicer name="Category" xr10:uid="{6565A0ED-BB16-4930-B654-C8B508545736}" cache="Slicer_Category" caption="Category" rowHeight="241300"/>
  <slicer name="Month" xr10:uid="{36BD4647-534E-41B8-9222-09ABA6DE1CCD}" cache="Slicer_Month" caption="Month" startItem="2" level="1" rowHeight="241300"/>
  <slicer name="PaymentMethod" xr10:uid="{850D3055-3245-4973-AD59-01C33F059E81}" cache="Slicer_PaymentMethod" caption="PaymentMethod" level="1" rowHeight="241300"/>
  <slicer name="Gender" xr10:uid="{99470227-3452-49A2-927F-1850CF176FA5}" cache="Slicer_Gender" caption="Gender"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309438-F5CD-471E-B92E-753AF3AA6959}" name="Table1" displayName="Table1" ref="A1:R502" totalsRowCount="1" headerRowDxfId="42" tableBorderDxfId="41">
  <autoFilter ref="A1:R501" xr:uid="{D3309438-F5CD-471E-B92E-753AF3AA6959}"/>
  <tableColumns count="18">
    <tableColumn id="1" xr3:uid="{9EB2CB9F-B03F-4FDA-9B27-3BA0B85B54DE}" name="OrderID" dataDxfId="40" totalsRowDxfId="39"/>
    <tableColumn id="2" xr3:uid="{5FFC4497-8D26-4174-88A5-E431A8A663B4}" name="OrderDate" dataDxfId="38" totalsRowDxfId="37"/>
    <tableColumn id="3" xr3:uid="{6562AECB-CFBA-4FAF-A7B9-5A6D4E82568B}" name="Customer" dataDxfId="36" totalsRowDxfId="35"/>
    <tableColumn id="4" xr3:uid="{EE1677D5-93F7-4C34-B127-4EACBBBF4C29}" name="Gender" dataDxfId="34" totalsRowDxfId="33"/>
    <tableColumn id="5" xr3:uid="{09B62706-FFE4-4DF9-9F9E-87216FE5CAE2}" name="Age" dataDxfId="32" totalsRowDxfId="31"/>
    <tableColumn id="6" xr3:uid="{05AAE9F2-81BA-4B84-9FB2-E0FD473AD52F}" name="City" dataDxfId="30" totalsRowDxfId="29"/>
    <tableColumn id="7" xr3:uid="{1E6B5386-A479-486C-AE64-BF7734176184}" name="Region" dataDxfId="28" totalsRowDxfId="27"/>
    <tableColumn id="8" xr3:uid="{D29C29AA-C8BE-423B-96A5-6B36E9E7389A}" name="Product" dataDxfId="26" totalsRowDxfId="25"/>
    <tableColumn id="9" xr3:uid="{5265B51E-48A3-4CA0-964A-FE1F3EFF4943}" name="Category" dataDxfId="24" totalsRowDxfId="23"/>
    <tableColumn id="10" xr3:uid="{38D0B29C-A3BE-4140-91E1-AABCEE980B4F}" name="Quantity" dataDxfId="22" totalsRowDxfId="21"/>
    <tableColumn id="11" xr3:uid="{C2EBECB0-17EF-4B5C-BB4B-6787345C3F5A}" name="UnitPrice" dataDxfId="20" totalsRowDxfId="19"/>
    <tableColumn id="12" xr3:uid="{570B71EE-402D-4736-89A3-0D89978B9BA3}" name="Discount" dataDxfId="18" totalsRowDxfId="17"/>
    <tableColumn id="13" xr3:uid="{4924F12C-0925-4549-AFB2-873462FF627F}" name="Salesperson" dataDxfId="16" totalsRowDxfId="15"/>
    <tableColumn id="14" xr3:uid="{AB66205C-1E24-476E-897F-8538A9FF9E3D}" name="PaymentMethod" dataDxfId="14" totalsRowDxfId="13"/>
    <tableColumn id="15" xr3:uid="{63BEFA3C-3FA0-4CFA-BE65-C886572589C9}" name="Month" dataDxfId="12">
      <calculatedColumnFormula>TEXT(B:B,"MMM")</calculatedColumnFormula>
    </tableColumn>
    <tableColumn id="16" xr3:uid="{5CC977DC-FFDC-4C74-A618-D5EB82A5BE73}" name="Year" dataDxfId="11">
      <calculatedColumnFormula>TEXT(B:B,"YYYY")</calculatedColumnFormula>
    </tableColumn>
    <tableColumn id="17" xr3:uid="{3297F2F0-657F-43E3-B4EA-F6179DB43168}" name="Sales Price" dataDxfId="10" totalsRowDxfId="9">
      <calculatedColumnFormula>K:K+50</calculatedColumnFormula>
    </tableColumn>
    <tableColumn id="22" xr3:uid="{6D7EC886-4295-4417-B115-44661B0FDB8B}" name="Total Sales Price" dataDxfId="8" totalsRowDxfId="7">
      <calculatedColumnFormula>J:J*Q:Q*(1-L:L)</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A9C70-0F06-4920-AE8D-56313A07DF35}">
  <dimension ref="A2:Z71"/>
  <sheetViews>
    <sheetView zoomScale="59" zoomScaleNormal="75" workbookViewId="0">
      <selection activeCell="L73" sqref="L73"/>
    </sheetView>
  </sheetViews>
  <sheetFormatPr defaultRowHeight="15" x14ac:dyDescent="0.25"/>
  <cols>
    <col min="1" max="1" width="20" bestFit="1" customWidth="1"/>
    <col min="2" max="2" width="33.85546875" bestFit="1" customWidth="1"/>
    <col min="13" max="13" width="20" bestFit="1" customWidth="1"/>
    <col min="14" max="14" width="22.140625" bestFit="1" customWidth="1"/>
    <col min="25" max="25" width="20" bestFit="1" customWidth="1"/>
    <col min="26" max="26" width="23.5703125" bestFit="1" customWidth="1"/>
    <col min="27" max="27" width="22.28515625" bestFit="1" customWidth="1"/>
  </cols>
  <sheetData>
    <row r="2" spans="1:26" x14ac:dyDescent="0.25">
      <c r="A2" s="13" t="s">
        <v>771</v>
      </c>
      <c r="B2" t="s">
        <v>778</v>
      </c>
      <c r="M2" s="13" t="s">
        <v>771</v>
      </c>
      <c r="N2" t="s">
        <v>773</v>
      </c>
      <c r="Y2" s="13" t="s">
        <v>771</v>
      </c>
      <c r="Z2" t="s">
        <v>773</v>
      </c>
    </row>
    <row r="3" spans="1:26" x14ac:dyDescent="0.25">
      <c r="A3" s="14" t="s">
        <v>30</v>
      </c>
      <c r="B3" s="29">
        <v>225762.34999999998</v>
      </c>
      <c r="M3" s="14" t="s">
        <v>23</v>
      </c>
      <c r="N3">
        <v>1542</v>
      </c>
      <c r="Y3" s="14" t="s">
        <v>109</v>
      </c>
      <c r="Z3">
        <v>275</v>
      </c>
    </row>
    <row r="4" spans="1:26" x14ac:dyDescent="0.25">
      <c r="A4" s="14" t="s">
        <v>89</v>
      </c>
      <c r="B4" s="29">
        <v>110635.7</v>
      </c>
      <c r="M4" s="14" t="s">
        <v>50</v>
      </c>
      <c r="N4">
        <v>600</v>
      </c>
      <c r="Y4" s="14" t="s">
        <v>49</v>
      </c>
      <c r="Z4">
        <v>325</v>
      </c>
    </row>
    <row r="5" spans="1:26" x14ac:dyDescent="0.25">
      <c r="A5" s="14" t="s">
        <v>44</v>
      </c>
      <c r="B5" s="29">
        <v>136264.25</v>
      </c>
      <c r="M5" s="14" t="s">
        <v>69</v>
      </c>
      <c r="N5">
        <v>678</v>
      </c>
      <c r="Y5" s="14" t="s">
        <v>22</v>
      </c>
      <c r="Z5">
        <v>430</v>
      </c>
    </row>
    <row r="6" spans="1:26" x14ac:dyDescent="0.25">
      <c r="A6" s="14" t="s">
        <v>21</v>
      </c>
      <c r="B6" s="29">
        <v>112950.40000000001</v>
      </c>
      <c r="M6" s="14" t="s">
        <v>772</v>
      </c>
      <c r="N6">
        <v>2820</v>
      </c>
      <c r="Y6" s="14" t="s">
        <v>62</v>
      </c>
      <c r="Z6">
        <v>413</v>
      </c>
    </row>
    <row r="7" spans="1:26" x14ac:dyDescent="0.25">
      <c r="A7" s="14" t="s">
        <v>38</v>
      </c>
      <c r="B7" s="29">
        <v>166475.4</v>
      </c>
      <c r="Y7" s="14" t="s">
        <v>73</v>
      </c>
      <c r="Z7">
        <v>331</v>
      </c>
    </row>
    <row r="8" spans="1:26" x14ac:dyDescent="0.25">
      <c r="A8" s="14" t="s">
        <v>772</v>
      </c>
      <c r="B8" s="29">
        <v>752088.10000000021</v>
      </c>
      <c r="Y8" s="14" t="s">
        <v>68</v>
      </c>
      <c r="Z8">
        <v>347</v>
      </c>
    </row>
    <row r="9" spans="1:26" x14ac:dyDescent="0.25">
      <c r="Y9" s="14" t="s">
        <v>79</v>
      </c>
      <c r="Z9">
        <v>338</v>
      </c>
    </row>
    <row r="10" spans="1:26" x14ac:dyDescent="0.25">
      <c r="Y10" s="14" t="s">
        <v>118</v>
      </c>
      <c r="Z10">
        <v>361</v>
      </c>
    </row>
    <row r="11" spans="1:26" x14ac:dyDescent="0.25">
      <c r="Y11" s="14" t="s">
        <v>772</v>
      </c>
      <c r="Z11">
        <v>2820</v>
      </c>
    </row>
    <row r="17" spans="1:26" x14ac:dyDescent="0.25">
      <c r="A17" s="13" t="s">
        <v>771</v>
      </c>
      <c r="B17" t="s">
        <v>773</v>
      </c>
      <c r="M17" s="13" t="s">
        <v>771</v>
      </c>
      <c r="N17" t="s">
        <v>779</v>
      </c>
      <c r="Y17" s="13" t="s">
        <v>771</v>
      </c>
      <c r="Z17" t="s">
        <v>779</v>
      </c>
    </row>
    <row r="18" spans="1:26" x14ac:dyDescent="0.25">
      <c r="A18" s="14" t="s">
        <v>45</v>
      </c>
      <c r="B18">
        <v>444</v>
      </c>
      <c r="M18" s="14" t="s">
        <v>32</v>
      </c>
      <c r="N18">
        <v>135</v>
      </c>
      <c r="Y18" s="14" t="s">
        <v>45</v>
      </c>
      <c r="Z18">
        <v>79</v>
      </c>
    </row>
    <row r="19" spans="1:26" x14ac:dyDescent="0.25">
      <c r="A19" s="14" t="s">
        <v>93</v>
      </c>
      <c r="B19">
        <v>410</v>
      </c>
      <c r="M19" s="14" t="s">
        <v>25</v>
      </c>
      <c r="N19">
        <v>132</v>
      </c>
      <c r="Y19" s="14" t="s">
        <v>93</v>
      </c>
      <c r="Z19">
        <v>77</v>
      </c>
    </row>
    <row r="20" spans="1:26" x14ac:dyDescent="0.25">
      <c r="A20" s="14" t="s">
        <v>58</v>
      </c>
      <c r="B20">
        <v>455</v>
      </c>
      <c r="M20" s="14" t="s">
        <v>51</v>
      </c>
      <c r="N20">
        <v>110</v>
      </c>
      <c r="Y20" s="14" t="s">
        <v>58</v>
      </c>
      <c r="Z20">
        <v>75</v>
      </c>
    </row>
    <row r="21" spans="1:26" x14ac:dyDescent="0.25">
      <c r="A21" s="14" t="s">
        <v>39</v>
      </c>
      <c r="B21">
        <v>632</v>
      </c>
      <c r="M21" s="14" t="s">
        <v>55</v>
      </c>
      <c r="N21">
        <v>123</v>
      </c>
      <c r="Y21" s="14" t="s">
        <v>39</v>
      </c>
      <c r="Z21">
        <v>116</v>
      </c>
    </row>
    <row r="22" spans="1:26" x14ac:dyDescent="0.25">
      <c r="A22" s="14" t="s">
        <v>24</v>
      </c>
      <c r="B22">
        <v>412</v>
      </c>
      <c r="M22" s="14" t="s">
        <v>772</v>
      </c>
      <c r="N22">
        <v>500</v>
      </c>
      <c r="Y22" s="14" t="s">
        <v>24</v>
      </c>
      <c r="Z22">
        <v>78</v>
      </c>
    </row>
    <row r="23" spans="1:26" x14ac:dyDescent="0.25">
      <c r="A23" s="14" t="s">
        <v>31</v>
      </c>
      <c r="B23">
        <v>467</v>
      </c>
      <c r="Y23" s="14" t="s">
        <v>31</v>
      </c>
      <c r="Z23">
        <v>75</v>
      </c>
    </row>
    <row r="24" spans="1:26" x14ac:dyDescent="0.25">
      <c r="A24" s="14" t="s">
        <v>772</v>
      </c>
      <c r="B24">
        <v>2820</v>
      </c>
      <c r="Y24" s="14" t="s">
        <v>772</v>
      </c>
      <c r="Z24">
        <v>500</v>
      </c>
    </row>
    <row r="34" spans="1:26" x14ac:dyDescent="0.25">
      <c r="A34" s="13" t="s">
        <v>771</v>
      </c>
      <c r="B34" t="s">
        <v>774</v>
      </c>
      <c r="M34" s="13" t="s">
        <v>771</v>
      </c>
      <c r="N34" t="s">
        <v>779</v>
      </c>
      <c r="Y34" s="13" t="s">
        <v>771</v>
      </c>
      <c r="Z34" t="s">
        <v>773</v>
      </c>
    </row>
    <row r="35" spans="1:26" x14ac:dyDescent="0.25">
      <c r="A35" s="14" t="s">
        <v>30</v>
      </c>
      <c r="B35">
        <v>121</v>
      </c>
      <c r="M35" s="14" t="s">
        <v>29</v>
      </c>
      <c r="N35">
        <v>121</v>
      </c>
      <c r="Y35" s="14" t="s">
        <v>766</v>
      </c>
      <c r="Z35">
        <v>497</v>
      </c>
    </row>
    <row r="36" spans="1:26" x14ac:dyDescent="0.25">
      <c r="A36" s="14" t="s">
        <v>89</v>
      </c>
      <c r="B36">
        <v>86</v>
      </c>
      <c r="M36" s="14" t="s">
        <v>43</v>
      </c>
      <c r="N36">
        <v>93</v>
      </c>
      <c r="Y36" s="14" t="s">
        <v>767</v>
      </c>
      <c r="Z36">
        <v>410</v>
      </c>
    </row>
    <row r="37" spans="1:26" x14ac:dyDescent="0.25">
      <c r="A37" s="14" t="s">
        <v>44</v>
      </c>
      <c r="B37">
        <v>93</v>
      </c>
      <c r="M37" s="14" t="s">
        <v>88</v>
      </c>
      <c r="N37">
        <v>86</v>
      </c>
      <c r="Y37" s="14" t="s">
        <v>768</v>
      </c>
      <c r="Z37">
        <v>520</v>
      </c>
    </row>
    <row r="38" spans="1:26" x14ac:dyDescent="0.25">
      <c r="A38" s="14" t="s">
        <v>21</v>
      </c>
      <c r="B38">
        <v>95</v>
      </c>
      <c r="M38" s="14" t="s">
        <v>37</v>
      </c>
      <c r="N38">
        <v>105</v>
      </c>
      <c r="Y38" s="14" t="s">
        <v>769</v>
      </c>
      <c r="Z38">
        <v>457</v>
      </c>
    </row>
    <row r="39" spans="1:26" x14ac:dyDescent="0.25">
      <c r="A39" s="14" t="s">
        <v>38</v>
      </c>
      <c r="B39">
        <v>105</v>
      </c>
      <c r="M39" s="14" t="s">
        <v>20</v>
      </c>
      <c r="N39">
        <v>95</v>
      </c>
      <c r="Y39" s="14" t="s">
        <v>770</v>
      </c>
      <c r="Z39">
        <v>540</v>
      </c>
    </row>
    <row r="40" spans="1:26" x14ac:dyDescent="0.25">
      <c r="A40" s="14" t="s">
        <v>772</v>
      </c>
      <c r="B40">
        <v>500</v>
      </c>
      <c r="M40" s="14" t="s">
        <v>772</v>
      </c>
      <c r="N40">
        <v>500</v>
      </c>
      <c r="Y40" s="14" t="s">
        <v>775</v>
      </c>
      <c r="Z40">
        <v>396</v>
      </c>
    </row>
    <row r="41" spans="1:26" x14ac:dyDescent="0.25">
      <c r="Y41" s="14" t="s">
        <v>772</v>
      </c>
      <c r="Z41">
        <v>2820</v>
      </c>
    </row>
    <row r="51" spans="1:26" x14ac:dyDescent="0.25">
      <c r="A51" s="13" t="s">
        <v>771</v>
      </c>
      <c r="B51" t="s">
        <v>779</v>
      </c>
      <c r="M51" s="13" t="s">
        <v>771</v>
      </c>
      <c r="N51" t="s">
        <v>778</v>
      </c>
      <c r="Y51" s="13" t="s">
        <v>771</v>
      </c>
      <c r="Z51" t="s">
        <v>778</v>
      </c>
    </row>
    <row r="52" spans="1:26" x14ac:dyDescent="0.25">
      <c r="A52" s="31">
        <v>0</v>
      </c>
      <c r="B52">
        <v>126</v>
      </c>
      <c r="M52" s="14" t="s">
        <v>109</v>
      </c>
      <c r="N52" s="29">
        <v>33449</v>
      </c>
      <c r="Y52" s="14" t="s">
        <v>45</v>
      </c>
      <c r="Z52" s="29">
        <v>103532.2</v>
      </c>
    </row>
    <row r="53" spans="1:26" x14ac:dyDescent="0.25">
      <c r="A53" s="31">
        <v>0.05</v>
      </c>
      <c r="B53">
        <v>141</v>
      </c>
      <c r="M53" s="14" t="s">
        <v>49</v>
      </c>
      <c r="N53" s="29">
        <v>51544</v>
      </c>
      <c r="Y53" s="14" t="s">
        <v>93</v>
      </c>
      <c r="Z53" s="29">
        <v>93299.700000000012</v>
      </c>
    </row>
    <row r="54" spans="1:26" x14ac:dyDescent="0.25">
      <c r="A54" s="31">
        <v>0.1</v>
      </c>
      <c r="B54">
        <v>125</v>
      </c>
      <c r="M54" s="14" t="s">
        <v>22</v>
      </c>
      <c r="N54" s="29">
        <v>360270</v>
      </c>
      <c r="Y54" s="14" t="s">
        <v>58</v>
      </c>
      <c r="Z54" s="29">
        <v>130277.55</v>
      </c>
    </row>
    <row r="55" spans="1:26" x14ac:dyDescent="0.25">
      <c r="A55" s="31">
        <v>0.15</v>
      </c>
      <c r="B55">
        <v>108</v>
      </c>
      <c r="M55" s="14" t="s">
        <v>62</v>
      </c>
      <c r="N55" s="29">
        <v>24862.5</v>
      </c>
      <c r="Y55" s="14" t="s">
        <v>39</v>
      </c>
      <c r="Z55" s="29">
        <v>185566.05</v>
      </c>
    </row>
    <row r="56" spans="1:26" x14ac:dyDescent="0.25">
      <c r="A56" s="31" t="s">
        <v>772</v>
      </c>
      <c r="B56">
        <v>500</v>
      </c>
      <c r="M56" s="14" t="s">
        <v>73</v>
      </c>
      <c r="N56" s="29">
        <v>16945.5</v>
      </c>
      <c r="Y56" s="14" t="s">
        <v>24</v>
      </c>
      <c r="Z56" s="29">
        <v>118841.85</v>
      </c>
    </row>
    <row r="57" spans="1:26" x14ac:dyDescent="0.25">
      <c r="M57" s="14" t="s">
        <v>68</v>
      </c>
      <c r="N57" s="29">
        <v>16551.599999999995</v>
      </c>
      <c r="Y57" s="14" t="s">
        <v>31</v>
      </c>
      <c r="Z57" s="29">
        <v>120570.75</v>
      </c>
    </row>
    <row r="58" spans="1:26" x14ac:dyDescent="0.25">
      <c r="M58" s="14" t="s">
        <v>79</v>
      </c>
      <c r="N58" s="29">
        <v>171737.5</v>
      </c>
      <c r="Y58" s="14" t="s">
        <v>772</v>
      </c>
      <c r="Z58" s="29">
        <v>752088.1</v>
      </c>
    </row>
    <row r="59" spans="1:26" x14ac:dyDescent="0.25">
      <c r="M59" s="14" t="s">
        <v>118</v>
      </c>
      <c r="N59" s="29">
        <v>76728</v>
      </c>
    </row>
    <row r="60" spans="1:26" x14ac:dyDescent="0.25">
      <c r="M60" s="14" t="s">
        <v>772</v>
      </c>
      <c r="N60" s="29">
        <v>752088.1</v>
      </c>
    </row>
    <row r="68" spans="1:2" x14ac:dyDescent="0.25">
      <c r="A68" s="13" t="s">
        <v>771</v>
      </c>
      <c r="B68" t="s">
        <v>779</v>
      </c>
    </row>
    <row r="69" spans="1:2" x14ac:dyDescent="0.25">
      <c r="A69" s="14" t="s">
        <v>36</v>
      </c>
      <c r="B69">
        <v>264</v>
      </c>
    </row>
    <row r="70" spans="1:2" x14ac:dyDescent="0.25">
      <c r="A70" s="14" t="s">
        <v>19</v>
      </c>
      <c r="B70">
        <v>236</v>
      </c>
    </row>
    <row r="71" spans="1:2" x14ac:dyDescent="0.25">
      <c r="A71" s="14" t="s">
        <v>772</v>
      </c>
      <c r="B71">
        <v>500</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E9C7-00B1-4B73-BBDD-6C3A68C674E4}">
  <dimension ref="A1"/>
  <sheetViews>
    <sheetView tabSelected="1" zoomScale="80" zoomScaleNormal="80" workbookViewId="0">
      <selection activeCell="N27" sqref="N2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02"/>
  <sheetViews>
    <sheetView zoomScale="80" zoomScaleNormal="80" workbookViewId="0">
      <pane ySplit="1" topLeftCell="A2" activePane="bottomLeft" state="frozen"/>
      <selection pane="bottomLeft" activeCell="A496" sqref="A496"/>
    </sheetView>
  </sheetViews>
  <sheetFormatPr defaultColWidth="18.42578125" defaultRowHeight="15" x14ac:dyDescent="0.25"/>
  <cols>
    <col min="2" max="2" width="18.42578125" style="4"/>
    <col min="11" max="12" width="18.42578125" style="29"/>
    <col min="17" max="17" width="18.42578125" style="25"/>
    <col min="18" max="18" width="18.42578125" style="29"/>
  </cols>
  <sheetData>
    <row r="1" spans="1:22" s="9" customFormat="1" x14ac:dyDescent="0.25">
      <c r="A1" s="6" t="s">
        <v>0</v>
      </c>
      <c r="B1" s="10" t="s">
        <v>1</v>
      </c>
      <c r="C1" s="7" t="s">
        <v>2</v>
      </c>
      <c r="D1" s="7" t="s">
        <v>3</v>
      </c>
      <c r="E1" s="7" t="s">
        <v>4</v>
      </c>
      <c r="F1" s="7" t="s">
        <v>5</v>
      </c>
      <c r="G1" s="7" t="s">
        <v>6</v>
      </c>
      <c r="H1" s="7" t="s">
        <v>7</v>
      </c>
      <c r="I1" s="7" t="s">
        <v>8</v>
      </c>
      <c r="J1" s="7" t="s">
        <v>9</v>
      </c>
      <c r="K1" s="26" t="s">
        <v>10</v>
      </c>
      <c r="L1" s="26" t="s">
        <v>11</v>
      </c>
      <c r="M1" s="7" t="s">
        <v>12</v>
      </c>
      <c r="N1" s="7" t="s">
        <v>13</v>
      </c>
      <c r="O1" s="8" t="s">
        <v>14</v>
      </c>
      <c r="P1" s="8" t="s">
        <v>15</v>
      </c>
      <c r="Q1" s="24" t="s">
        <v>776</v>
      </c>
      <c r="R1" s="30" t="s">
        <v>777</v>
      </c>
    </row>
    <row r="2" spans="1:22" x14ac:dyDescent="0.25">
      <c r="A2" s="5" t="s">
        <v>16</v>
      </c>
      <c r="B2" s="3" t="s">
        <v>17</v>
      </c>
      <c r="C2" s="1" t="s">
        <v>18</v>
      </c>
      <c r="D2" s="1" t="s">
        <v>19</v>
      </c>
      <c r="E2" s="1">
        <v>35</v>
      </c>
      <c r="F2" s="1" t="s">
        <v>20</v>
      </c>
      <c r="G2" s="1" t="s">
        <v>21</v>
      </c>
      <c r="H2" s="1" t="s">
        <v>22</v>
      </c>
      <c r="I2" s="1" t="s">
        <v>23</v>
      </c>
      <c r="J2" s="1">
        <v>10</v>
      </c>
      <c r="K2" s="27">
        <v>850</v>
      </c>
      <c r="L2" s="27">
        <v>0.05</v>
      </c>
      <c r="M2" s="1" t="s">
        <v>24</v>
      </c>
      <c r="N2" s="1" t="s">
        <v>25</v>
      </c>
      <c r="O2" t="str">
        <f t="shared" ref="O2:O65" si="0">TEXT(B:B,"MMM")</f>
        <v>Feb</v>
      </c>
      <c r="P2" t="str">
        <f t="shared" ref="P2:P65" si="1">TEXT(B:B,"YYYY")</f>
        <v>2026</v>
      </c>
      <c r="Q2" s="25">
        <f t="shared" ref="Q2:Q65" si="2">K:K+50</f>
        <v>900</v>
      </c>
      <c r="R2" s="29">
        <f>J:J*Q:Q*(1-L:L)</f>
        <v>8550</v>
      </c>
    </row>
    <row r="3" spans="1:22" x14ac:dyDescent="0.25">
      <c r="A3" s="5" t="s">
        <v>26</v>
      </c>
      <c r="B3" s="3" t="s">
        <v>27</v>
      </c>
      <c r="C3" s="1" t="s">
        <v>28</v>
      </c>
      <c r="D3" s="1" t="s">
        <v>19</v>
      </c>
      <c r="E3" s="1">
        <v>44</v>
      </c>
      <c r="F3" s="1" t="s">
        <v>29</v>
      </c>
      <c r="G3" s="1" t="s">
        <v>30</v>
      </c>
      <c r="H3" s="1" t="s">
        <v>22</v>
      </c>
      <c r="I3" s="1" t="s">
        <v>23</v>
      </c>
      <c r="J3" s="1">
        <v>7</v>
      </c>
      <c r="K3" s="27">
        <v>850</v>
      </c>
      <c r="L3" s="27">
        <v>0</v>
      </c>
      <c r="M3" s="1" t="s">
        <v>31</v>
      </c>
      <c r="N3" s="1" t="s">
        <v>32</v>
      </c>
      <c r="O3" t="str">
        <f t="shared" si="0"/>
        <v>Mar</v>
      </c>
      <c r="P3" t="str">
        <f t="shared" si="1"/>
        <v>2026</v>
      </c>
      <c r="Q3" s="25">
        <f t="shared" si="2"/>
        <v>900</v>
      </c>
      <c r="R3" s="29">
        <f t="shared" ref="R3:R66" si="3">J:J*Q:Q*(1-L:L)</f>
        <v>6300</v>
      </c>
    </row>
    <row r="4" spans="1:22" x14ac:dyDescent="0.25">
      <c r="A4" s="5" t="s">
        <v>33</v>
      </c>
      <c r="B4" s="3" t="s">
        <v>34</v>
      </c>
      <c r="C4" s="1" t="s">
        <v>35</v>
      </c>
      <c r="D4" s="1" t="s">
        <v>36</v>
      </c>
      <c r="E4" s="1">
        <v>47</v>
      </c>
      <c r="F4" s="1" t="s">
        <v>37</v>
      </c>
      <c r="G4" s="1" t="s">
        <v>38</v>
      </c>
      <c r="H4" s="1" t="s">
        <v>22</v>
      </c>
      <c r="I4" s="1" t="s">
        <v>23</v>
      </c>
      <c r="J4" s="1">
        <v>10</v>
      </c>
      <c r="K4" s="27">
        <v>850</v>
      </c>
      <c r="L4" s="27">
        <v>0.05</v>
      </c>
      <c r="M4" s="1" t="s">
        <v>39</v>
      </c>
      <c r="N4" s="1" t="s">
        <v>25</v>
      </c>
      <c r="O4" t="str">
        <f t="shared" si="0"/>
        <v>Jan</v>
      </c>
      <c r="P4" t="str">
        <f t="shared" si="1"/>
        <v>2026</v>
      </c>
      <c r="Q4" s="25">
        <f t="shared" si="2"/>
        <v>900</v>
      </c>
      <c r="R4" s="29">
        <f t="shared" si="3"/>
        <v>8550</v>
      </c>
    </row>
    <row r="5" spans="1:22" x14ac:dyDescent="0.25">
      <c r="A5" s="5" t="s">
        <v>40</v>
      </c>
      <c r="B5" s="3" t="s">
        <v>41</v>
      </c>
      <c r="C5" s="1" t="s">
        <v>42</v>
      </c>
      <c r="D5" s="1" t="s">
        <v>19</v>
      </c>
      <c r="E5" s="1">
        <v>47</v>
      </c>
      <c r="F5" s="1" t="s">
        <v>43</v>
      </c>
      <c r="G5" s="1" t="s">
        <v>44</v>
      </c>
      <c r="H5" s="1" t="s">
        <v>22</v>
      </c>
      <c r="I5" s="1" t="s">
        <v>23</v>
      </c>
      <c r="J5" s="1">
        <v>2</v>
      </c>
      <c r="K5" s="27">
        <v>850</v>
      </c>
      <c r="L5" s="27">
        <v>0.05</v>
      </c>
      <c r="M5" s="1" t="s">
        <v>45</v>
      </c>
      <c r="N5" s="1" t="s">
        <v>32</v>
      </c>
      <c r="O5" t="str">
        <f t="shared" si="0"/>
        <v>May</v>
      </c>
      <c r="P5" t="str">
        <f t="shared" si="1"/>
        <v>2026</v>
      </c>
      <c r="Q5" s="25">
        <f t="shared" si="2"/>
        <v>900</v>
      </c>
      <c r="R5" s="29">
        <f t="shared" si="3"/>
        <v>1710</v>
      </c>
    </row>
    <row r="6" spans="1:22" x14ac:dyDescent="0.25">
      <c r="A6" s="5" t="s">
        <v>46</v>
      </c>
      <c r="B6" s="3" t="s">
        <v>47</v>
      </c>
      <c r="C6" s="1" t="s">
        <v>48</v>
      </c>
      <c r="D6" s="1" t="s">
        <v>36</v>
      </c>
      <c r="E6" s="1">
        <v>50</v>
      </c>
      <c r="F6" s="1" t="s">
        <v>37</v>
      </c>
      <c r="G6" s="1" t="s">
        <v>38</v>
      </c>
      <c r="H6" s="1" t="s">
        <v>49</v>
      </c>
      <c r="I6" s="1" t="s">
        <v>50</v>
      </c>
      <c r="J6" s="1">
        <v>5</v>
      </c>
      <c r="K6" s="27">
        <v>120</v>
      </c>
      <c r="L6" s="27">
        <v>0.05</v>
      </c>
      <c r="M6" s="1" t="s">
        <v>39</v>
      </c>
      <c r="N6" s="1" t="s">
        <v>51</v>
      </c>
      <c r="O6" t="str">
        <f t="shared" si="0"/>
        <v>Mar</v>
      </c>
      <c r="P6" t="str">
        <f t="shared" si="1"/>
        <v>2026</v>
      </c>
      <c r="Q6" s="25">
        <f t="shared" si="2"/>
        <v>170</v>
      </c>
      <c r="R6" s="29">
        <f t="shared" si="3"/>
        <v>807.5</v>
      </c>
    </row>
    <row r="7" spans="1:22" x14ac:dyDescent="0.25">
      <c r="A7" s="5" t="s">
        <v>52</v>
      </c>
      <c r="B7" s="3" t="s">
        <v>53</v>
      </c>
      <c r="C7" s="1" t="s">
        <v>54</v>
      </c>
      <c r="D7" s="1" t="s">
        <v>19</v>
      </c>
      <c r="E7" s="1">
        <v>34</v>
      </c>
      <c r="F7" s="1" t="s">
        <v>43</v>
      </c>
      <c r="G7" s="1" t="s">
        <v>44</v>
      </c>
      <c r="H7" s="1" t="s">
        <v>49</v>
      </c>
      <c r="I7" s="1" t="s">
        <v>50</v>
      </c>
      <c r="J7" s="1">
        <v>5</v>
      </c>
      <c r="K7" s="27">
        <v>120</v>
      </c>
      <c r="L7" s="27">
        <v>0.15</v>
      </c>
      <c r="M7" s="1" t="s">
        <v>24</v>
      </c>
      <c r="N7" s="1" t="s">
        <v>55</v>
      </c>
      <c r="O7" t="str">
        <f t="shared" si="0"/>
        <v>Apr</v>
      </c>
      <c r="P7" t="str">
        <f t="shared" si="1"/>
        <v>2026</v>
      </c>
      <c r="Q7" s="25">
        <f t="shared" si="2"/>
        <v>170</v>
      </c>
      <c r="R7" s="29">
        <f t="shared" si="3"/>
        <v>722.5</v>
      </c>
    </row>
    <row r="8" spans="1:22" x14ac:dyDescent="0.25">
      <c r="A8" s="5" t="s">
        <v>56</v>
      </c>
      <c r="B8" s="3" t="s">
        <v>57</v>
      </c>
      <c r="C8" s="1" t="s">
        <v>28</v>
      </c>
      <c r="D8" s="1" t="s">
        <v>36</v>
      </c>
      <c r="E8" s="1">
        <v>42</v>
      </c>
      <c r="F8" s="1" t="s">
        <v>37</v>
      </c>
      <c r="G8" s="1" t="s">
        <v>38</v>
      </c>
      <c r="H8" s="1" t="s">
        <v>49</v>
      </c>
      <c r="I8" s="1" t="s">
        <v>50</v>
      </c>
      <c r="J8" s="1">
        <v>7</v>
      </c>
      <c r="K8" s="27">
        <v>120</v>
      </c>
      <c r="L8" s="27">
        <v>0.1</v>
      </c>
      <c r="M8" s="1" t="s">
        <v>58</v>
      </c>
      <c r="N8" s="1" t="s">
        <v>25</v>
      </c>
      <c r="O8" t="str">
        <f t="shared" si="0"/>
        <v>Mar</v>
      </c>
      <c r="P8" t="str">
        <f t="shared" si="1"/>
        <v>2026</v>
      </c>
      <c r="Q8" s="25">
        <f t="shared" si="2"/>
        <v>170</v>
      </c>
      <c r="R8" s="29">
        <f t="shared" si="3"/>
        <v>1071</v>
      </c>
    </row>
    <row r="9" spans="1:22" x14ac:dyDescent="0.25">
      <c r="A9" s="5" t="s">
        <v>59</v>
      </c>
      <c r="B9" s="3" t="s">
        <v>60</v>
      </c>
      <c r="C9" s="1" t="s">
        <v>61</v>
      </c>
      <c r="D9" s="1" t="s">
        <v>36</v>
      </c>
      <c r="E9" s="1">
        <v>45</v>
      </c>
      <c r="F9" s="1" t="s">
        <v>37</v>
      </c>
      <c r="G9" s="1" t="s">
        <v>38</v>
      </c>
      <c r="H9" s="1" t="s">
        <v>62</v>
      </c>
      <c r="I9" s="1" t="s">
        <v>23</v>
      </c>
      <c r="J9" s="1">
        <v>5</v>
      </c>
      <c r="K9" s="27">
        <v>15</v>
      </c>
      <c r="L9" s="27">
        <v>0</v>
      </c>
      <c r="M9" s="1" t="s">
        <v>24</v>
      </c>
      <c r="N9" s="1" t="s">
        <v>55</v>
      </c>
      <c r="O9" t="str">
        <f t="shared" si="0"/>
        <v>Apr</v>
      </c>
      <c r="P9" t="str">
        <f t="shared" si="1"/>
        <v>2026</v>
      </c>
      <c r="Q9" s="25">
        <f t="shared" si="2"/>
        <v>65</v>
      </c>
      <c r="R9" s="29">
        <f t="shared" si="3"/>
        <v>325</v>
      </c>
    </row>
    <row r="10" spans="1:22" x14ac:dyDescent="0.25">
      <c r="A10" s="5" t="s">
        <v>63</v>
      </c>
      <c r="B10" s="3" t="s">
        <v>64</v>
      </c>
      <c r="C10" s="1" t="s">
        <v>65</v>
      </c>
      <c r="D10" s="1" t="s">
        <v>36</v>
      </c>
      <c r="E10" s="1">
        <v>59</v>
      </c>
      <c r="F10" s="1" t="s">
        <v>29</v>
      </c>
      <c r="G10" s="1" t="s">
        <v>30</v>
      </c>
      <c r="H10" s="1" t="s">
        <v>62</v>
      </c>
      <c r="I10" s="1" t="s">
        <v>23</v>
      </c>
      <c r="J10" s="1">
        <v>6</v>
      </c>
      <c r="K10" s="27">
        <v>15</v>
      </c>
      <c r="L10" s="27">
        <v>0.15</v>
      </c>
      <c r="M10" s="1" t="s">
        <v>45</v>
      </c>
      <c r="N10" s="1" t="s">
        <v>55</v>
      </c>
      <c r="O10" t="str">
        <f t="shared" si="0"/>
        <v>Apr</v>
      </c>
      <c r="P10" t="str">
        <f t="shared" si="1"/>
        <v>2026</v>
      </c>
      <c r="Q10" s="25">
        <f t="shared" si="2"/>
        <v>65</v>
      </c>
      <c r="R10" s="29">
        <f t="shared" si="3"/>
        <v>331.5</v>
      </c>
    </row>
    <row r="11" spans="1:22" x14ac:dyDescent="0.25">
      <c r="A11" s="5" t="s">
        <v>66</v>
      </c>
      <c r="B11" s="3" t="s">
        <v>67</v>
      </c>
      <c r="C11" s="1" t="s">
        <v>61</v>
      </c>
      <c r="D11" s="1" t="s">
        <v>19</v>
      </c>
      <c r="E11" s="1">
        <v>40</v>
      </c>
      <c r="F11" s="1" t="s">
        <v>37</v>
      </c>
      <c r="G11" s="1" t="s">
        <v>38</v>
      </c>
      <c r="H11" s="1" t="s">
        <v>68</v>
      </c>
      <c r="I11" s="1" t="s">
        <v>69</v>
      </c>
      <c r="J11" s="1">
        <v>2</v>
      </c>
      <c r="K11" s="27">
        <v>2</v>
      </c>
      <c r="L11" s="27">
        <v>0.1</v>
      </c>
      <c r="M11" s="1" t="s">
        <v>45</v>
      </c>
      <c r="N11" s="1" t="s">
        <v>32</v>
      </c>
      <c r="O11" t="str">
        <f t="shared" si="0"/>
        <v>Jun</v>
      </c>
      <c r="P11" t="str">
        <f t="shared" si="1"/>
        <v>2026</v>
      </c>
      <c r="Q11" s="25">
        <f t="shared" si="2"/>
        <v>52</v>
      </c>
      <c r="R11" s="29">
        <f t="shared" si="3"/>
        <v>93.600000000000009</v>
      </c>
      <c r="S11" s="19"/>
      <c r="T11" s="19"/>
      <c r="U11" s="19"/>
      <c r="V11" s="19"/>
    </row>
    <row r="12" spans="1:22" x14ac:dyDescent="0.25">
      <c r="A12" s="5" t="s">
        <v>70</v>
      </c>
      <c r="B12" s="3" t="s">
        <v>71</v>
      </c>
      <c r="C12" s="1" t="s">
        <v>72</v>
      </c>
      <c r="D12" s="1" t="s">
        <v>36</v>
      </c>
      <c r="E12" s="1">
        <v>31</v>
      </c>
      <c r="F12" s="1" t="s">
        <v>37</v>
      </c>
      <c r="G12" s="1" t="s">
        <v>38</v>
      </c>
      <c r="H12" s="1" t="s">
        <v>73</v>
      </c>
      <c r="I12" s="1" t="s">
        <v>69</v>
      </c>
      <c r="J12" s="1">
        <v>5</v>
      </c>
      <c r="K12" s="27">
        <v>5</v>
      </c>
      <c r="L12" s="27">
        <v>0.15</v>
      </c>
      <c r="M12" s="1" t="s">
        <v>31</v>
      </c>
      <c r="N12" s="1" t="s">
        <v>51</v>
      </c>
      <c r="O12" t="str">
        <f t="shared" si="0"/>
        <v>May</v>
      </c>
      <c r="P12" t="str">
        <f t="shared" si="1"/>
        <v>2026</v>
      </c>
      <c r="Q12" s="25">
        <f t="shared" si="2"/>
        <v>55</v>
      </c>
      <c r="R12" s="29">
        <f t="shared" si="3"/>
        <v>233.75</v>
      </c>
      <c r="S12" s="18"/>
      <c r="T12" s="18"/>
      <c r="U12" s="18"/>
      <c r="V12" s="18"/>
    </row>
    <row r="13" spans="1:22" x14ac:dyDescent="0.25">
      <c r="A13" s="5" t="s">
        <v>74</v>
      </c>
      <c r="B13" s="3" t="s">
        <v>75</v>
      </c>
      <c r="C13" s="1" t="s">
        <v>54</v>
      </c>
      <c r="D13" s="1" t="s">
        <v>36</v>
      </c>
      <c r="E13" s="1">
        <v>33</v>
      </c>
      <c r="F13" s="1" t="s">
        <v>29</v>
      </c>
      <c r="G13" s="1" t="s">
        <v>30</v>
      </c>
      <c r="H13" s="1" t="s">
        <v>62</v>
      </c>
      <c r="I13" s="1" t="s">
        <v>23</v>
      </c>
      <c r="J13" s="1">
        <v>3</v>
      </c>
      <c r="K13" s="27">
        <v>15</v>
      </c>
      <c r="L13" s="27">
        <v>0</v>
      </c>
      <c r="M13" s="1" t="s">
        <v>58</v>
      </c>
      <c r="N13" s="1" t="s">
        <v>32</v>
      </c>
      <c r="O13" t="str">
        <f t="shared" si="0"/>
        <v>Jan</v>
      </c>
      <c r="P13" t="str">
        <f t="shared" si="1"/>
        <v>2026</v>
      </c>
      <c r="Q13" s="25">
        <f t="shared" si="2"/>
        <v>65</v>
      </c>
      <c r="R13" s="29">
        <f t="shared" si="3"/>
        <v>195</v>
      </c>
      <c r="S13" s="18"/>
      <c r="T13" s="18"/>
      <c r="U13" s="18"/>
      <c r="V13" s="18"/>
    </row>
    <row r="14" spans="1:22" x14ac:dyDescent="0.25">
      <c r="A14" s="5" t="s">
        <v>76</v>
      </c>
      <c r="B14" s="3" t="s">
        <v>77</v>
      </c>
      <c r="C14" s="1" t="s">
        <v>78</v>
      </c>
      <c r="D14" s="1" t="s">
        <v>36</v>
      </c>
      <c r="E14" s="1">
        <v>47</v>
      </c>
      <c r="F14" s="1" t="s">
        <v>29</v>
      </c>
      <c r="G14" s="1" t="s">
        <v>30</v>
      </c>
      <c r="H14" s="1" t="s">
        <v>79</v>
      </c>
      <c r="I14" s="1" t="s">
        <v>23</v>
      </c>
      <c r="J14" s="1">
        <v>9</v>
      </c>
      <c r="K14" s="27">
        <v>500</v>
      </c>
      <c r="L14" s="27">
        <v>0</v>
      </c>
      <c r="M14" s="1" t="s">
        <v>45</v>
      </c>
      <c r="N14" s="1" t="s">
        <v>25</v>
      </c>
      <c r="O14" t="str">
        <f t="shared" si="0"/>
        <v>Mar</v>
      </c>
      <c r="P14" t="str">
        <f t="shared" si="1"/>
        <v>2026</v>
      </c>
      <c r="Q14" s="25">
        <f t="shared" si="2"/>
        <v>550</v>
      </c>
      <c r="R14" s="29">
        <f t="shared" si="3"/>
        <v>4950</v>
      </c>
      <c r="S14" s="18"/>
      <c r="T14" s="18"/>
      <c r="U14" s="18"/>
      <c r="V14" s="18"/>
    </row>
    <row r="15" spans="1:22" x14ac:dyDescent="0.25">
      <c r="A15" s="5" t="s">
        <v>80</v>
      </c>
      <c r="B15" s="3" t="s">
        <v>81</v>
      </c>
      <c r="C15" s="1" t="s">
        <v>82</v>
      </c>
      <c r="D15" s="1" t="s">
        <v>36</v>
      </c>
      <c r="E15" s="1">
        <v>54</v>
      </c>
      <c r="F15" s="1" t="s">
        <v>43</v>
      </c>
      <c r="G15" s="1" t="s">
        <v>44</v>
      </c>
      <c r="H15" s="1" t="s">
        <v>73</v>
      </c>
      <c r="I15" s="1" t="s">
        <v>69</v>
      </c>
      <c r="J15" s="1">
        <v>1</v>
      </c>
      <c r="K15" s="27">
        <v>5</v>
      </c>
      <c r="L15" s="27">
        <v>0</v>
      </c>
      <c r="M15" s="1" t="s">
        <v>39</v>
      </c>
      <c r="N15" s="1" t="s">
        <v>32</v>
      </c>
      <c r="O15" t="str">
        <f t="shared" si="0"/>
        <v>Jan</v>
      </c>
      <c r="P15" t="str">
        <f t="shared" si="1"/>
        <v>2026</v>
      </c>
      <c r="Q15" s="25">
        <f t="shared" si="2"/>
        <v>55</v>
      </c>
      <c r="R15" s="29">
        <f t="shared" si="3"/>
        <v>55</v>
      </c>
      <c r="S15" s="18"/>
      <c r="T15" s="18"/>
      <c r="U15" s="18"/>
      <c r="V15" s="18"/>
    </row>
    <row r="16" spans="1:22" x14ac:dyDescent="0.25">
      <c r="A16" s="5" t="s">
        <v>83</v>
      </c>
      <c r="B16" s="3" t="s">
        <v>84</v>
      </c>
      <c r="C16" s="1" t="s">
        <v>48</v>
      </c>
      <c r="D16" s="1" t="s">
        <v>36</v>
      </c>
      <c r="E16" s="1">
        <v>48</v>
      </c>
      <c r="F16" s="1" t="s">
        <v>29</v>
      </c>
      <c r="G16" s="1" t="s">
        <v>30</v>
      </c>
      <c r="H16" s="1" t="s">
        <v>62</v>
      </c>
      <c r="I16" s="1" t="s">
        <v>23</v>
      </c>
      <c r="J16" s="1">
        <v>6</v>
      </c>
      <c r="K16" s="27">
        <v>15</v>
      </c>
      <c r="L16" s="27">
        <v>0.15</v>
      </c>
      <c r="M16" s="1" t="s">
        <v>24</v>
      </c>
      <c r="N16" s="1" t="s">
        <v>25</v>
      </c>
      <c r="O16" t="str">
        <f t="shared" si="0"/>
        <v>Mar</v>
      </c>
      <c r="P16" t="str">
        <f t="shared" si="1"/>
        <v>2026</v>
      </c>
      <c r="Q16" s="25">
        <f t="shared" si="2"/>
        <v>65</v>
      </c>
      <c r="R16" s="29">
        <f t="shared" si="3"/>
        <v>331.5</v>
      </c>
      <c r="S16" s="18"/>
      <c r="T16" s="18"/>
      <c r="U16" s="18"/>
      <c r="V16" s="18"/>
    </row>
    <row r="17" spans="1:21" x14ac:dyDescent="0.25">
      <c r="A17" s="5" t="s">
        <v>85</v>
      </c>
      <c r="B17" s="3" t="s">
        <v>86</v>
      </c>
      <c r="C17" s="1" t="s">
        <v>87</v>
      </c>
      <c r="D17" s="1" t="s">
        <v>36</v>
      </c>
      <c r="E17" s="1">
        <v>35</v>
      </c>
      <c r="F17" s="1" t="s">
        <v>88</v>
      </c>
      <c r="G17" s="1" t="s">
        <v>89</v>
      </c>
      <c r="H17" s="1" t="s">
        <v>22</v>
      </c>
      <c r="I17" s="1" t="s">
        <v>23</v>
      </c>
      <c r="J17" s="1">
        <v>3</v>
      </c>
      <c r="K17" s="27">
        <v>850</v>
      </c>
      <c r="L17" s="27">
        <v>0.15</v>
      </c>
      <c r="M17" s="1" t="s">
        <v>24</v>
      </c>
      <c r="N17" s="1" t="s">
        <v>55</v>
      </c>
      <c r="O17" t="str">
        <f t="shared" si="0"/>
        <v>Feb</v>
      </c>
      <c r="P17" t="str">
        <f t="shared" si="1"/>
        <v>2026</v>
      </c>
      <c r="Q17" s="25">
        <f t="shared" si="2"/>
        <v>900</v>
      </c>
      <c r="R17" s="29">
        <f t="shared" si="3"/>
        <v>2295</v>
      </c>
    </row>
    <row r="18" spans="1:21" x14ac:dyDescent="0.25">
      <c r="A18" s="5" t="s">
        <v>90</v>
      </c>
      <c r="B18" s="3" t="s">
        <v>91</v>
      </c>
      <c r="C18" s="1" t="s">
        <v>92</v>
      </c>
      <c r="D18" s="1" t="s">
        <v>19</v>
      </c>
      <c r="E18" s="1">
        <v>36</v>
      </c>
      <c r="F18" s="1" t="s">
        <v>20</v>
      </c>
      <c r="G18" s="1" t="s">
        <v>21</v>
      </c>
      <c r="H18" s="1" t="s">
        <v>49</v>
      </c>
      <c r="I18" s="1" t="s">
        <v>50</v>
      </c>
      <c r="J18" s="1">
        <v>1</v>
      </c>
      <c r="K18" s="27">
        <v>120</v>
      </c>
      <c r="L18" s="27">
        <v>0.1</v>
      </c>
      <c r="M18" s="1" t="s">
        <v>93</v>
      </c>
      <c r="N18" s="1" t="s">
        <v>55</v>
      </c>
      <c r="O18" t="str">
        <f t="shared" si="0"/>
        <v>May</v>
      </c>
      <c r="P18" t="str">
        <f t="shared" si="1"/>
        <v>2026</v>
      </c>
      <c r="Q18" s="25">
        <f t="shared" si="2"/>
        <v>170</v>
      </c>
      <c r="R18" s="29">
        <f t="shared" si="3"/>
        <v>153</v>
      </c>
    </row>
    <row r="19" spans="1:21" x14ac:dyDescent="0.25">
      <c r="A19" s="5" t="s">
        <v>94</v>
      </c>
      <c r="B19" s="3" t="s">
        <v>95</v>
      </c>
      <c r="C19" s="1" t="s">
        <v>96</v>
      </c>
      <c r="D19" s="1" t="s">
        <v>19</v>
      </c>
      <c r="E19" s="1">
        <v>31</v>
      </c>
      <c r="F19" s="1" t="s">
        <v>20</v>
      </c>
      <c r="G19" s="1" t="s">
        <v>21</v>
      </c>
      <c r="H19" s="1" t="s">
        <v>62</v>
      </c>
      <c r="I19" s="1" t="s">
        <v>23</v>
      </c>
      <c r="J19" s="1">
        <v>4</v>
      </c>
      <c r="K19" s="27">
        <v>15</v>
      </c>
      <c r="L19" s="27">
        <v>0.15</v>
      </c>
      <c r="M19" s="1" t="s">
        <v>39</v>
      </c>
      <c r="N19" s="1" t="s">
        <v>55</v>
      </c>
      <c r="O19" t="str">
        <f t="shared" si="0"/>
        <v>May</v>
      </c>
      <c r="P19" t="str">
        <f t="shared" si="1"/>
        <v>2026</v>
      </c>
      <c r="Q19" s="25">
        <f t="shared" si="2"/>
        <v>65</v>
      </c>
      <c r="R19" s="29">
        <f t="shared" si="3"/>
        <v>221</v>
      </c>
      <c r="S19" s="19"/>
    </row>
    <row r="20" spans="1:21" x14ac:dyDescent="0.25">
      <c r="A20" s="5" t="s">
        <v>97</v>
      </c>
      <c r="B20" s="3" t="s">
        <v>98</v>
      </c>
      <c r="C20" s="1" t="s">
        <v>99</v>
      </c>
      <c r="D20" s="1" t="s">
        <v>36</v>
      </c>
      <c r="E20" s="1">
        <v>31</v>
      </c>
      <c r="F20" s="1" t="s">
        <v>88</v>
      </c>
      <c r="G20" s="1" t="s">
        <v>89</v>
      </c>
      <c r="H20" s="1" t="s">
        <v>68</v>
      </c>
      <c r="I20" s="1" t="s">
        <v>69</v>
      </c>
      <c r="J20" s="1">
        <v>5</v>
      </c>
      <c r="K20" s="27">
        <v>2</v>
      </c>
      <c r="L20" s="27">
        <v>0</v>
      </c>
      <c r="M20" s="1" t="s">
        <v>93</v>
      </c>
      <c r="N20" s="1" t="s">
        <v>51</v>
      </c>
      <c r="O20" t="str">
        <f t="shared" si="0"/>
        <v>Jun</v>
      </c>
      <c r="P20" t="str">
        <f t="shared" si="1"/>
        <v>2026</v>
      </c>
      <c r="Q20" s="25">
        <f t="shared" si="2"/>
        <v>52</v>
      </c>
      <c r="R20" s="29">
        <f t="shared" si="3"/>
        <v>260</v>
      </c>
      <c r="S20" s="18"/>
    </row>
    <row r="21" spans="1:21" x14ac:dyDescent="0.25">
      <c r="A21" s="5" t="s">
        <v>100</v>
      </c>
      <c r="B21" s="3" t="s">
        <v>101</v>
      </c>
      <c r="C21" s="1" t="s">
        <v>102</v>
      </c>
      <c r="D21" s="1" t="s">
        <v>19</v>
      </c>
      <c r="E21" s="1">
        <v>36</v>
      </c>
      <c r="F21" s="1" t="s">
        <v>43</v>
      </c>
      <c r="G21" s="1" t="s">
        <v>44</v>
      </c>
      <c r="H21" s="1" t="s">
        <v>79</v>
      </c>
      <c r="I21" s="1" t="s">
        <v>23</v>
      </c>
      <c r="J21" s="1">
        <v>3</v>
      </c>
      <c r="K21" s="27">
        <v>500</v>
      </c>
      <c r="L21" s="27">
        <v>0.15</v>
      </c>
      <c r="M21" s="1" t="s">
        <v>93</v>
      </c>
      <c r="N21" s="1" t="s">
        <v>51</v>
      </c>
      <c r="O21" t="str">
        <f t="shared" si="0"/>
        <v>May</v>
      </c>
      <c r="P21" t="str">
        <f t="shared" si="1"/>
        <v>2026</v>
      </c>
      <c r="Q21" s="25">
        <f t="shared" si="2"/>
        <v>550</v>
      </c>
      <c r="R21" s="29">
        <f t="shared" si="3"/>
        <v>1402.5</v>
      </c>
      <c r="S21" s="18"/>
      <c r="U21" s="18"/>
    </row>
    <row r="22" spans="1:21" x14ac:dyDescent="0.25">
      <c r="A22" s="5" t="s">
        <v>103</v>
      </c>
      <c r="B22" s="3" t="s">
        <v>104</v>
      </c>
      <c r="C22" s="1" t="s">
        <v>105</v>
      </c>
      <c r="D22" s="1" t="s">
        <v>19</v>
      </c>
      <c r="E22" s="1">
        <v>25</v>
      </c>
      <c r="F22" s="1" t="s">
        <v>29</v>
      </c>
      <c r="G22" s="1" t="s">
        <v>30</v>
      </c>
      <c r="H22" s="1" t="s">
        <v>62</v>
      </c>
      <c r="I22" s="1" t="s">
        <v>23</v>
      </c>
      <c r="J22" s="1">
        <v>6</v>
      </c>
      <c r="K22" s="27">
        <v>15</v>
      </c>
      <c r="L22" s="27">
        <v>0.15</v>
      </c>
      <c r="M22" s="1" t="s">
        <v>24</v>
      </c>
      <c r="N22" s="1" t="s">
        <v>51</v>
      </c>
      <c r="O22" t="str">
        <f t="shared" si="0"/>
        <v>Mar</v>
      </c>
      <c r="P22" t="str">
        <f t="shared" si="1"/>
        <v>2026</v>
      </c>
      <c r="Q22" s="25">
        <f t="shared" si="2"/>
        <v>65</v>
      </c>
      <c r="R22" s="29">
        <f t="shared" si="3"/>
        <v>331.5</v>
      </c>
      <c r="S22" s="18"/>
    </row>
    <row r="23" spans="1:21" x14ac:dyDescent="0.25">
      <c r="A23" s="5" t="s">
        <v>106</v>
      </c>
      <c r="B23" s="3" t="s">
        <v>107</v>
      </c>
      <c r="C23" s="1" t="s">
        <v>108</v>
      </c>
      <c r="D23" s="1" t="s">
        <v>36</v>
      </c>
      <c r="E23" s="1">
        <v>40</v>
      </c>
      <c r="F23" s="1" t="s">
        <v>37</v>
      </c>
      <c r="G23" s="1" t="s">
        <v>38</v>
      </c>
      <c r="H23" s="1" t="s">
        <v>109</v>
      </c>
      <c r="I23" s="1" t="s">
        <v>50</v>
      </c>
      <c r="J23" s="1">
        <v>4</v>
      </c>
      <c r="K23" s="27">
        <v>80</v>
      </c>
      <c r="L23" s="27">
        <v>0.05</v>
      </c>
      <c r="M23" s="1" t="s">
        <v>39</v>
      </c>
      <c r="N23" s="1" t="s">
        <v>32</v>
      </c>
      <c r="O23" t="str">
        <f t="shared" si="0"/>
        <v>Feb</v>
      </c>
      <c r="P23" t="str">
        <f t="shared" si="1"/>
        <v>2026</v>
      </c>
      <c r="Q23" s="25">
        <f t="shared" si="2"/>
        <v>130</v>
      </c>
      <c r="R23" s="29">
        <f t="shared" si="3"/>
        <v>494</v>
      </c>
      <c r="S23" s="18"/>
    </row>
    <row r="24" spans="1:21" x14ac:dyDescent="0.25">
      <c r="A24" s="5" t="s">
        <v>110</v>
      </c>
      <c r="B24" s="3" t="s">
        <v>111</v>
      </c>
      <c r="C24" s="1" t="s">
        <v>61</v>
      </c>
      <c r="D24" s="1" t="s">
        <v>19</v>
      </c>
      <c r="E24" s="1">
        <v>28</v>
      </c>
      <c r="F24" s="1" t="s">
        <v>37</v>
      </c>
      <c r="G24" s="1" t="s">
        <v>38</v>
      </c>
      <c r="H24" s="1" t="s">
        <v>68</v>
      </c>
      <c r="I24" s="1" t="s">
        <v>69</v>
      </c>
      <c r="J24" s="1">
        <v>3</v>
      </c>
      <c r="K24" s="27">
        <v>2</v>
      </c>
      <c r="L24" s="27">
        <v>0.15</v>
      </c>
      <c r="M24" s="1" t="s">
        <v>39</v>
      </c>
      <c r="N24" s="1" t="s">
        <v>55</v>
      </c>
      <c r="O24" t="str">
        <f t="shared" si="0"/>
        <v>Jun</v>
      </c>
      <c r="P24" t="str">
        <f t="shared" si="1"/>
        <v>2026</v>
      </c>
      <c r="Q24" s="25">
        <f t="shared" si="2"/>
        <v>52</v>
      </c>
      <c r="R24" s="29">
        <f t="shared" si="3"/>
        <v>132.6</v>
      </c>
      <c r="S24" s="18"/>
    </row>
    <row r="25" spans="1:21" x14ac:dyDescent="0.25">
      <c r="A25" s="5" t="s">
        <v>112</v>
      </c>
      <c r="B25" s="3" t="s">
        <v>113</v>
      </c>
      <c r="C25" s="1" t="s">
        <v>114</v>
      </c>
      <c r="D25" s="1" t="s">
        <v>36</v>
      </c>
      <c r="E25" s="1">
        <v>31</v>
      </c>
      <c r="F25" s="1" t="s">
        <v>88</v>
      </c>
      <c r="G25" s="1" t="s">
        <v>89</v>
      </c>
      <c r="H25" s="1" t="s">
        <v>22</v>
      </c>
      <c r="I25" s="1" t="s">
        <v>23</v>
      </c>
      <c r="J25" s="1">
        <v>5</v>
      </c>
      <c r="K25" s="27">
        <v>850</v>
      </c>
      <c r="L25" s="27">
        <v>0</v>
      </c>
      <c r="M25" s="1" t="s">
        <v>39</v>
      </c>
      <c r="N25" s="1" t="s">
        <v>25</v>
      </c>
      <c r="O25" t="str">
        <f t="shared" si="0"/>
        <v>Jun</v>
      </c>
      <c r="P25" t="str">
        <f t="shared" si="1"/>
        <v>2026</v>
      </c>
      <c r="Q25" s="25">
        <f t="shared" si="2"/>
        <v>900</v>
      </c>
      <c r="R25" s="29">
        <f t="shared" si="3"/>
        <v>4500</v>
      </c>
      <c r="S25" s="18"/>
    </row>
    <row r="26" spans="1:21" x14ac:dyDescent="0.25">
      <c r="A26" s="5" t="s">
        <v>115</v>
      </c>
      <c r="B26" s="3" t="s">
        <v>116</v>
      </c>
      <c r="C26" s="1" t="s">
        <v>117</v>
      </c>
      <c r="D26" s="1" t="s">
        <v>19</v>
      </c>
      <c r="E26" s="1">
        <v>54</v>
      </c>
      <c r="F26" s="1" t="s">
        <v>20</v>
      </c>
      <c r="G26" s="1" t="s">
        <v>21</v>
      </c>
      <c r="H26" s="1" t="s">
        <v>118</v>
      </c>
      <c r="I26" s="1" t="s">
        <v>23</v>
      </c>
      <c r="J26" s="1">
        <v>2</v>
      </c>
      <c r="K26" s="27">
        <v>180</v>
      </c>
      <c r="L26" s="27">
        <v>0</v>
      </c>
      <c r="M26" s="1" t="s">
        <v>39</v>
      </c>
      <c r="N26" s="1" t="s">
        <v>25</v>
      </c>
      <c r="O26" t="str">
        <f t="shared" si="0"/>
        <v>Apr</v>
      </c>
      <c r="P26" t="str">
        <f t="shared" si="1"/>
        <v>2026</v>
      </c>
      <c r="Q26" s="25">
        <f t="shared" si="2"/>
        <v>230</v>
      </c>
      <c r="R26" s="29">
        <f t="shared" si="3"/>
        <v>460</v>
      </c>
    </row>
    <row r="27" spans="1:21" x14ac:dyDescent="0.25">
      <c r="A27" s="5" t="s">
        <v>119</v>
      </c>
      <c r="B27" s="3" t="s">
        <v>120</v>
      </c>
      <c r="C27" s="1" t="s">
        <v>65</v>
      </c>
      <c r="D27" s="1" t="s">
        <v>36</v>
      </c>
      <c r="E27" s="1">
        <v>23</v>
      </c>
      <c r="F27" s="1" t="s">
        <v>43</v>
      </c>
      <c r="G27" s="1" t="s">
        <v>44</v>
      </c>
      <c r="H27" s="1" t="s">
        <v>49</v>
      </c>
      <c r="I27" s="1" t="s">
        <v>50</v>
      </c>
      <c r="J27" s="1">
        <v>10</v>
      </c>
      <c r="K27" s="27">
        <v>120</v>
      </c>
      <c r="L27" s="27">
        <v>0</v>
      </c>
      <c r="M27" s="1" t="s">
        <v>31</v>
      </c>
      <c r="N27" s="1" t="s">
        <v>55</v>
      </c>
      <c r="O27" t="str">
        <f t="shared" si="0"/>
        <v>Jan</v>
      </c>
      <c r="P27" t="str">
        <f t="shared" si="1"/>
        <v>2026</v>
      </c>
      <c r="Q27" s="25">
        <f t="shared" si="2"/>
        <v>170</v>
      </c>
      <c r="R27" s="29">
        <f t="shared" si="3"/>
        <v>1700</v>
      </c>
    </row>
    <row r="28" spans="1:21" x14ac:dyDescent="0.25">
      <c r="A28" s="5" t="s">
        <v>121</v>
      </c>
      <c r="B28" s="3" t="s">
        <v>122</v>
      </c>
      <c r="C28" s="1" t="s">
        <v>123</v>
      </c>
      <c r="D28" s="1" t="s">
        <v>36</v>
      </c>
      <c r="E28" s="1">
        <v>26</v>
      </c>
      <c r="F28" s="1" t="s">
        <v>29</v>
      </c>
      <c r="G28" s="1" t="s">
        <v>30</v>
      </c>
      <c r="H28" s="1" t="s">
        <v>118</v>
      </c>
      <c r="I28" s="1" t="s">
        <v>23</v>
      </c>
      <c r="J28" s="1">
        <v>1</v>
      </c>
      <c r="K28" s="27">
        <v>180</v>
      </c>
      <c r="L28" s="27">
        <v>0.15</v>
      </c>
      <c r="M28" s="1" t="s">
        <v>45</v>
      </c>
      <c r="N28" s="1" t="s">
        <v>51</v>
      </c>
      <c r="O28" t="str">
        <f t="shared" si="0"/>
        <v>Mar</v>
      </c>
      <c r="P28" t="str">
        <f t="shared" si="1"/>
        <v>2026</v>
      </c>
      <c r="Q28" s="25">
        <f t="shared" si="2"/>
        <v>230</v>
      </c>
      <c r="R28" s="29">
        <f t="shared" si="3"/>
        <v>195.5</v>
      </c>
    </row>
    <row r="29" spans="1:21" x14ac:dyDescent="0.25">
      <c r="A29" s="5" t="s">
        <v>124</v>
      </c>
      <c r="B29" s="3" t="s">
        <v>125</v>
      </c>
      <c r="C29" s="1" t="s">
        <v>126</v>
      </c>
      <c r="D29" s="1" t="s">
        <v>36</v>
      </c>
      <c r="E29" s="1">
        <v>45</v>
      </c>
      <c r="F29" s="1" t="s">
        <v>29</v>
      </c>
      <c r="G29" s="1" t="s">
        <v>30</v>
      </c>
      <c r="H29" s="1" t="s">
        <v>79</v>
      </c>
      <c r="I29" s="1" t="s">
        <v>23</v>
      </c>
      <c r="J29" s="1">
        <v>2</v>
      </c>
      <c r="K29" s="27">
        <v>500</v>
      </c>
      <c r="L29" s="27">
        <v>0.05</v>
      </c>
      <c r="M29" s="1" t="s">
        <v>39</v>
      </c>
      <c r="N29" s="1" t="s">
        <v>25</v>
      </c>
      <c r="O29" t="str">
        <f t="shared" si="0"/>
        <v>May</v>
      </c>
      <c r="P29" t="str">
        <f t="shared" si="1"/>
        <v>2026</v>
      </c>
      <c r="Q29" s="25">
        <f t="shared" si="2"/>
        <v>550</v>
      </c>
      <c r="R29" s="29">
        <f t="shared" si="3"/>
        <v>1045</v>
      </c>
    </row>
    <row r="30" spans="1:21" x14ac:dyDescent="0.25">
      <c r="A30" s="5" t="s">
        <v>127</v>
      </c>
      <c r="B30" s="3" t="s">
        <v>128</v>
      </c>
      <c r="C30" s="1" t="s">
        <v>42</v>
      </c>
      <c r="D30" s="1" t="s">
        <v>19</v>
      </c>
      <c r="E30" s="1">
        <v>53</v>
      </c>
      <c r="F30" s="1" t="s">
        <v>37</v>
      </c>
      <c r="G30" s="1" t="s">
        <v>38</v>
      </c>
      <c r="H30" s="1" t="s">
        <v>49</v>
      </c>
      <c r="I30" s="1" t="s">
        <v>50</v>
      </c>
      <c r="J30" s="1">
        <v>4</v>
      </c>
      <c r="K30" s="27">
        <v>120</v>
      </c>
      <c r="L30" s="27">
        <v>0</v>
      </c>
      <c r="M30" s="1" t="s">
        <v>93</v>
      </c>
      <c r="N30" s="1" t="s">
        <v>51</v>
      </c>
      <c r="O30" t="str">
        <f t="shared" si="0"/>
        <v>Feb</v>
      </c>
      <c r="P30" t="str">
        <f t="shared" si="1"/>
        <v>2026</v>
      </c>
      <c r="Q30" s="25">
        <f t="shared" si="2"/>
        <v>170</v>
      </c>
      <c r="R30" s="29">
        <f t="shared" si="3"/>
        <v>680</v>
      </c>
    </row>
    <row r="31" spans="1:21" x14ac:dyDescent="0.25">
      <c r="A31" s="5" t="s">
        <v>129</v>
      </c>
      <c r="B31" s="3" t="s">
        <v>130</v>
      </c>
      <c r="C31" s="1" t="s">
        <v>131</v>
      </c>
      <c r="D31" s="1" t="s">
        <v>19</v>
      </c>
      <c r="E31" s="1">
        <v>39</v>
      </c>
      <c r="F31" s="1" t="s">
        <v>43</v>
      </c>
      <c r="G31" s="1" t="s">
        <v>44</v>
      </c>
      <c r="H31" s="1" t="s">
        <v>73</v>
      </c>
      <c r="I31" s="1" t="s">
        <v>69</v>
      </c>
      <c r="J31" s="1">
        <v>3</v>
      </c>
      <c r="K31" s="27">
        <v>5</v>
      </c>
      <c r="L31" s="27">
        <v>0.15</v>
      </c>
      <c r="M31" s="1" t="s">
        <v>39</v>
      </c>
      <c r="N31" s="1" t="s">
        <v>25</v>
      </c>
      <c r="O31" t="str">
        <f t="shared" si="0"/>
        <v>May</v>
      </c>
      <c r="P31" t="str">
        <f t="shared" si="1"/>
        <v>2026</v>
      </c>
      <c r="Q31" s="25">
        <f t="shared" si="2"/>
        <v>55</v>
      </c>
      <c r="R31" s="29">
        <f t="shared" si="3"/>
        <v>140.25</v>
      </c>
    </row>
    <row r="32" spans="1:21" x14ac:dyDescent="0.25">
      <c r="A32" s="5" t="s">
        <v>132</v>
      </c>
      <c r="B32" s="3" t="s">
        <v>133</v>
      </c>
      <c r="C32" s="1" t="s">
        <v>131</v>
      </c>
      <c r="D32" s="1" t="s">
        <v>36</v>
      </c>
      <c r="E32" s="1">
        <v>28</v>
      </c>
      <c r="F32" s="1" t="s">
        <v>43</v>
      </c>
      <c r="G32" s="1" t="s">
        <v>44</v>
      </c>
      <c r="H32" s="1" t="s">
        <v>62</v>
      </c>
      <c r="I32" s="1" t="s">
        <v>23</v>
      </c>
      <c r="J32" s="1">
        <v>10</v>
      </c>
      <c r="K32" s="27">
        <v>15</v>
      </c>
      <c r="L32" s="27">
        <v>0.05</v>
      </c>
      <c r="M32" s="1" t="s">
        <v>31</v>
      </c>
      <c r="N32" s="1" t="s">
        <v>55</v>
      </c>
      <c r="O32" t="str">
        <f t="shared" si="0"/>
        <v>Mar</v>
      </c>
      <c r="P32" t="str">
        <f t="shared" si="1"/>
        <v>2026</v>
      </c>
      <c r="Q32" s="25">
        <f t="shared" si="2"/>
        <v>65</v>
      </c>
      <c r="R32" s="29">
        <f t="shared" si="3"/>
        <v>617.5</v>
      </c>
    </row>
    <row r="33" spans="1:25" x14ac:dyDescent="0.25">
      <c r="A33" s="5" t="s">
        <v>134</v>
      </c>
      <c r="B33" s="3" t="s">
        <v>135</v>
      </c>
      <c r="C33" s="1" t="s">
        <v>136</v>
      </c>
      <c r="D33" s="1" t="s">
        <v>36</v>
      </c>
      <c r="E33" s="1">
        <v>43</v>
      </c>
      <c r="F33" s="1" t="s">
        <v>20</v>
      </c>
      <c r="G33" s="1" t="s">
        <v>21</v>
      </c>
      <c r="H33" s="1" t="s">
        <v>118</v>
      </c>
      <c r="I33" s="1" t="s">
        <v>23</v>
      </c>
      <c r="J33" s="1">
        <v>8</v>
      </c>
      <c r="K33" s="27">
        <v>180</v>
      </c>
      <c r="L33" s="27">
        <v>0.1</v>
      </c>
      <c r="M33" s="1" t="s">
        <v>39</v>
      </c>
      <c r="N33" s="1" t="s">
        <v>55</v>
      </c>
      <c r="O33" t="str">
        <f t="shared" si="0"/>
        <v>May</v>
      </c>
      <c r="P33" t="str">
        <f t="shared" si="1"/>
        <v>2026</v>
      </c>
      <c r="Q33" s="25">
        <f t="shared" si="2"/>
        <v>230</v>
      </c>
      <c r="R33" s="29">
        <f t="shared" si="3"/>
        <v>1656</v>
      </c>
    </row>
    <row r="34" spans="1:25" x14ac:dyDescent="0.25">
      <c r="A34" s="5" t="s">
        <v>137</v>
      </c>
      <c r="B34" s="3" t="s">
        <v>138</v>
      </c>
      <c r="C34" s="1" t="s">
        <v>126</v>
      </c>
      <c r="D34" s="1" t="s">
        <v>19</v>
      </c>
      <c r="E34" s="1">
        <v>34</v>
      </c>
      <c r="F34" s="1" t="s">
        <v>43</v>
      </c>
      <c r="G34" s="1" t="s">
        <v>44</v>
      </c>
      <c r="H34" s="1" t="s">
        <v>73</v>
      </c>
      <c r="I34" s="1" t="s">
        <v>69</v>
      </c>
      <c r="J34" s="1">
        <v>6</v>
      </c>
      <c r="K34" s="27">
        <v>5</v>
      </c>
      <c r="L34" s="27">
        <v>0.05</v>
      </c>
      <c r="M34" s="1" t="s">
        <v>39</v>
      </c>
      <c r="N34" s="1" t="s">
        <v>32</v>
      </c>
      <c r="O34" t="str">
        <f t="shared" si="0"/>
        <v>Jun</v>
      </c>
      <c r="P34" t="str">
        <f t="shared" si="1"/>
        <v>2026</v>
      </c>
      <c r="Q34" s="25">
        <f t="shared" si="2"/>
        <v>55</v>
      </c>
      <c r="R34" s="29">
        <f t="shared" si="3"/>
        <v>313.5</v>
      </c>
    </row>
    <row r="35" spans="1:25" x14ac:dyDescent="0.25">
      <c r="A35" s="5" t="s">
        <v>139</v>
      </c>
      <c r="B35" s="3" t="s">
        <v>140</v>
      </c>
      <c r="C35" s="1" t="s">
        <v>28</v>
      </c>
      <c r="D35" s="1" t="s">
        <v>19</v>
      </c>
      <c r="E35" s="1">
        <v>42</v>
      </c>
      <c r="F35" s="1" t="s">
        <v>20</v>
      </c>
      <c r="G35" s="1" t="s">
        <v>21</v>
      </c>
      <c r="H35" s="1" t="s">
        <v>22</v>
      </c>
      <c r="I35" s="1" t="s">
        <v>23</v>
      </c>
      <c r="J35" s="1">
        <v>8</v>
      </c>
      <c r="K35" s="27">
        <v>850</v>
      </c>
      <c r="L35" s="27">
        <v>0</v>
      </c>
      <c r="M35" s="1" t="s">
        <v>31</v>
      </c>
      <c r="N35" s="1" t="s">
        <v>32</v>
      </c>
      <c r="O35" t="str">
        <f t="shared" si="0"/>
        <v>May</v>
      </c>
      <c r="P35" t="str">
        <f t="shared" si="1"/>
        <v>2026</v>
      </c>
      <c r="Q35" s="25">
        <f t="shared" si="2"/>
        <v>900</v>
      </c>
      <c r="R35" s="29">
        <f t="shared" si="3"/>
        <v>7200</v>
      </c>
    </row>
    <row r="36" spans="1:25" x14ac:dyDescent="0.25">
      <c r="A36" s="5" t="s">
        <v>141</v>
      </c>
      <c r="B36" s="3" t="s">
        <v>142</v>
      </c>
      <c r="C36" s="1" t="s">
        <v>123</v>
      </c>
      <c r="D36" s="1" t="s">
        <v>36</v>
      </c>
      <c r="E36" s="1">
        <v>52</v>
      </c>
      <c r="F36" s="1" t="s">
        <v>29</v>
      </c>
      <c r="G36" s="1" t="s">
        <v>30</v>
      </c>
      <c r="H36" s="1" t="s">
        <v>79</v>
      </c>
      <c r="I36" s="1" t="s">
        <v>23</v>
      </c>
      <c r="J36" s="1">
        <v>5</v>
      </c>
      <c r="K36" s="27">
        <v>500</v>
      </c>
      <c r="L36" s="27">
        <v>0.1</v>
      </c>
      <c r="M36" s="1" t="s">
        <v>58</v>
      </c>
      <c r="N36" s="1" t="s">
        <v>32</v>
      </c>
      <c r="O36" t="str">
        <f t="shared" si="0"/>
        <v>May</v>
      </c>
      <c r="P36" t="str">
        <f t="shared" si="1"/>
        <v>2026</v>
      </c>
      <c r="Q36" s="25">
        <f t="shared" si="2"/>
        <v>550</v>
      </c>
      <c r="R36" s="29">
        <f t="shared" si="3"/>
        <v>2475</v>
      </c>
      <c r="S36" s="19"/>
      <c r="T36" s="19"/>
      <c r="U36" s="19"/>
      <c r="V36" s="19"/>
      <c r="W36" s="19"/>
      <c r="X36" s="19"/>
      <c r="Y36" s="19"/>
    </row>
    <row r="37" spans="1:25" x14ac:dyDescent="0.25">
      <c r="A37" s="5" t="s">
        <v>143</v>
      </c>
      <c r="B37" s="3" t="s">
        <v>144</v>
      </c>
      <c r="C37" s="1" t="s">
        <v>145</v>
      </c>
      <c r="D37" s="1" t="s">
        <v>36</v>
      </c>
      <c r="E37" s="1">
        <v>54</v>
      </c>
      <c r="F37" s="1" t="s">
        <v>37</v>
      </c>
      <c r="G37" s="1" t="s">
        <v>38</v>
      </c>
      <c r="H37" s="1" t="s">
        <v>79</v>
      </c>
      <c r="I37" s="1" t="s">
        <v>23</v>
      </c>
      <c r="J37" s="1">
        <v>10</v>
      </c>
      <c r="K37" s="27">
        <v>500</v>
      </c>
      <c r="L37" s="27">
        <v>0</v>
      </c>
      <c r="M37" s="1" t="s">
        <v>39</v>
      </c>
      <c r="N37" s="1" t="s">
        <v>51</v>
      </c>
      <c r="O37" t="str">
        <f t="shared" si="0"/>
        <v>Mar</v>
      </c>
      <c r="P37" t="str">
        <f t="shared" si="1"/>
        <v>2026</v>
      </c>
      <c r="Q37" s="25">
        <f t="shared" si="2"/>
        <v>550</v>
      </c>
      <c r="R37" s="29">
        <f t="shared" si="3"/>
        <v>5500</v>
      </c>
      <c r="S37" s="18"/>
      <c r="T37" s="18"/>
      <c r="U37" s="18"/>
      <c r="V37" s="18"/>
      <c r="W37" s="18"/>
      <c r="X37" s="18"/>
    </row>
    <row r="38" spans="1:25" x14ac:dyDescent="0.25">
      <c r="A38" s="5" t="s">
        <v>146</v>
      </c>
      <c r="B38" s="3" t="s">
        <v>47</v>
      </c>
      <c r="C38" s="1" t="s">
        <v>126</v>
      </c>
      <c r="D38" s="1" t="s">
        <v>19</v>
      </c>
      <c r="E38" s="1">
        <v>44</v>
      </c>
      <c r="F38" s="1" t="s">
        <v>20</v>
      </c>
      <c r="G38" s="1" t="s">
        <v>21</v>
      </c>
      <c r="H38" s="1" t="s">
        <v>62</v>
      </c>
      <c r="I38" s="1" t="s">
        <v>23</v>
      </c>
      <c r="J38" s="1">
        <v>4</v>
      </c>
      <c r="K38" s="27">
        <v>15</v>
      </c>
      <c r="L38" s="27">
        <v>0.05</v>
      </c>
      <c r="M38" s="1" t="s">
        <v>58</v>
      </c>
      <c r="N38" s="1" t="s">
        <v>55</v>
      </c>
      <c r="O38" t="str">
        <f t="shared" si="0"/>
        <v>Mar</v>
      </c>
      <c r="P38" t="str">
        <f t="shared" si="1"/>
        <v>2026</v>
      </c>
      <c r="Q38" s="25">
        <f t="shared" si="2"/>
        <v>65</v>
      </c>
      <c r="R38" s="29">
        <f t="shared" si="3"/>
        <v>247</v>
      </c>
      <c r="S38" s="18"/>
      <c r="T38" s="18"/>
      <c r="U38" s="18"/>
      <c r="V38" s="18"/>
      <c r="W38" s="18"/>
      <c r="X38" s="18"/>
    </row>
    <row r="39" spans="1:25" x14ac:dyDescent="0.25">
      <c r="A39" s="5" t="s">
        <v>147</v>
      </c>
      <c r="B39" s="3" t="s">
        <v>148</v>
      </c>
      <c r="C39" s="1" t="s">
        <v>149</v>
      </c>
      <c r="D39" s="1" t="s">
        <v>36</v>
      </c>
      <c r="E39" s="1">
        <v>33</v>
      </c>
      <c r="F39" s="1" t="s">
        <v>20</v>
      </c>
      <c r="G39" s="1" t="s">
        <v>21</v>
      </c>
      <c r="H39" s="1" t="s">
        <v>73</v>
      </c>
      <c r="I39" s="1" t="s">
        <v>69</v>
      </c>
      <c r="J39" s="1">
        <v>5</v>
      </c>
      <c r="K39" s="27">
        <v>5</v>
      </c>
      <c r="L39" s="27">
        <v>0</v>
      </c>
      <c r="M39" s="1" t="s">
        <v>45</v>
      </c>
      <c r="N39" s="1" t="s">
        <v>51</v>
      </c>
      <c r="O39" t="str">
        <f t="shared" si="0"/>
        <v>Jun</v>
      </c>
      <c r="P39" t="str">
        <f t="shared" si="1"/>
        <v>2026</v>
      </c>
      <c r="Q39" s="25">
        <f t="shared" si="2"/>
        <v>55</v>
      </c>
      <c r="R39" s="29">
        <f t="shared" si="3"/>
        <v>275</v>
      </c>
      <c r="S39" s="18"/>
      <c r="T39" s="18"/>
      <c r="U39" s="18"/>
      <c r="V39" s="18"/>
      <c r="W39" s="18"/>
      <c r="X39" s="18"/>
    </row>
    <row r="40" spans="1:25" x14ac:dyDescent="0.25">
      <c r="A40" s="5" t="s">
        <v>150</v>
      </c>
      <c r="B40" s="3" t="s">
        <v>151</v>
      </c>
      <c r="C40" s="1" t="s">
        <v>152</v>
      </c>
      <c r="D40" s="1" t="s">
        <v>19</v>
      </c>
      <c r="E40" s="1">
        <v>40</v>
      </c>
      <c r="F40" s="1" t="s">
        <v>20</v>
      </c>
      <c r="G40" s="1" t="s">
        <v>21</v>
      </c>
      <c r="H40" s="1" t="s">
        <v>62</v>
      </c>
      <c r="I40" s="1" t="s">
        <v>23</v>
      </c>
      <c r="J40" s="1">
        <v>2</v>
      </c>
      <c r="K40" s="27">
        <v>15</v>
      </c>
      <c r="L40" s="27">
        <v>0.1</v>
      </c>
      <c r="M40" s="1" t="s">
        <v>39</v>
      </c>
      <c r="N40" s="1" t="s">
        <v>51</v>
      </c>
      <c r="O40" t="str">
        <f t="shared" si="0"/>
        <v>Jan</v>
      </c>
      <c r="P40" t="str">
        <f t="shared" si="1"/>
        <v>2026</v>
      </c>
      <c r="Q40" s="25">
        <f t="shared" si="2"/>
        <v>65</v>
      </c>
      <c r="R40" s="29">
        <f t="shared" si="3"/>
        <v>117</v>
      </c>
      <c r="S40" s="18"/>
      <c r="T40" s="18"/>
      <c r="U40" s="18"/>
      <c r="V40" s="18"/>
      <c r="W40" s="18"/>
      <c r="X40" s="18"/>
    </row>
    <row r="41" spans="1:25" x14ac:dyDescent="0.25">
      <c r="A41" s="5" t="s">
        <v>153</v>
      </c>
      <c r="B41" s="3" t="s">
        <v>154</v>
      </c>
      <c r="C41" s="1" t="s">
        <v>155</v>
      </c>
      <c r="D41" s="1" t="s">
        <v>19</v>
      </c>
      <c r="E41" s="1">
        <v>40</v>
      </c>
      <c r="F41" s="1" t="s">
        <v>20</v>
      </c>
      <c r="G41" s="1" t="s">
        <v>21</v>
      </c>
      <c r="H41" s="1" t="s">
        <v>73</v>
      </c>
      <c r="I41" s="1" t="s">
        <v>69</v>
      </c>
      <c r="J41" s="1">
        <v>3</v>
      </c>
      <c r="K41" s="27">
        <v>5</v>
      </c>
      <c r="L41" s="27">
        <v>0.05</v>
      </c>
      <c r="M41" s="1" t="s">
        <v>39</v>
      </c>
      <c r="N41" s="1" t="s">
        <v>32</v>
      </c>
      <c r="O41" t="str">
        <f t="shared" si="0"/>
        <v>Jun</v>
      </c>
      <c r="P41" t="str">
        <f t="shared" si="1"/>
        <v>2026</v>
      </c>
      <c r="Q41" s="25">
        <f t="shared" si="2"/>
        <v>55</v>
      </c>
      <c r="R41" s="29">
        <f t="shared" si="3"/>
        <v>156.75</v>
      </c>
      <c r="S41" s="18"/>
      <c r="T41" s="18"/>
      <c r="U41" s="18"/>
      <c r="V41" s="18"/>
      <c r="W41" s="18"/>
      <c r="X41" s="18"/>
    </row>
    <row r="42" spans="1:25" x14ac:dyDescent="0.25">
      <c r="A42" s="5" t="s">
        <v>156</v>
      </c>
      <c r="B42" s="3" t="s">
        <v>157</v>
      </c>
      <c r="C42" s="1" t="s">
        <v>158</v>
      </c>
      <c r="D42" s="1" t="s">
        <v>19</v>
      </c>
      <c r="E42" s="1">
        <v>35</v>
      </c>
      <c r="F42" s="1" t="s">
        <v>29</v>
      </c>
      <c r="G42" s="1" t="s">
        <v>30</v>
      </c>
      <c r="H42" s="1" t="s">
        <v>68</v>
      </c>
      <c r="I42" s="1" t="s">
        <v>69</v>
      </c>
      <c r="J42" s="1">
        <v>4</v>
      </c>
      <c r="K42" s="27">
        <v>2</v>
      </c>
      <c r="L42" s="27">
        <v>0.15</v>
      </c>
      <c r="M42" s="1" t="s">
        <v>93</v>
      </c>
      <c r="N42" s="1" t="s">
        <v>32</v>
      </c>
      <c r="O42" t="str">
        <f t="shared" si="0"/>
        <v>Feb</v>
      </c>
      <c r="P42" t="str">
        <f t="shared" si="1"/>
        <v>2026</v>
      </c>
      <c r="Q42" s="25">
        <f t="shared" si="2"/>
        <v>52</v>
      </c>
      <c r="R42" s="29">
        <f t="shared" si="3"/>
        <v>176.79999999999998</v>
      </c>
    </row>
    <row r="43" spans="1:25" x14ac:dyDescent="0.25">
      <c r="A43" s="5" t="s">
        <v>159</v>
      </c>
      <c r="B43" s="3" t="s">
        <v>160</v>
      </c>
      <c r="C43" s="1" t="s">
        <v>123</v>
      </c>
      <c r="D43" s="1" t="s">
        <v>36</v>
      </c>
      <c r="E43" s="1">
        <v>56</v>
      </c>
      <c r="F43" s="1" t="s">
        <v>20</v>
      </c>
      <c r="G43" s="1" t="s">
        <v>21</v>
      </c>
      <c r="H43" s="1" t="s">
        <v>73</v>
      </c>
      <c r="I43" s="1" t="s">
        <v>69</v>
      </c>
      <c r="J43" s="1">
        <v>8</v>
      </c>
      <c r="K43" s="27">
        <v>5</v>
      </c>
      <c r="L43" s="27">
        <v>0.15</v>
      </c>
      <c r="M43" s="1" t="s">
        <v>24</v>
      </c>
      <c r="N43" s="1" t="s">
        <v>55</v>
      </c>
      <c r="O43" t="str">
        <f t="shared" si="0"/>
        <v>Jan</v>
      </c>
      <c r="P43" t="str">
        <f t="shared" si="1"/>
        <v>2026</v>
      </c>
      <c r="Q43" s="25">
        <f t="shared" si="2"/>
        <v>55</v>
      </c>
      <c r="R43" s="29">
        <f t="shared" si="3"/>
        <v>374</v>
      </c>
    </row>
    <row r="44" spans="1:25" x14ac:dyDescent="0.25">
      <c r="A44" s="5" t="s">
        <v>161</v>
      </c>
      <c r="B44" s="3" t="s">
        <v>162</v>
      </c>
      <c r="C44" s="1" t="s">
        <v>136</v>
      </c>
      <c r="D44" s="1" t="s">
        <v>36</v>
      </c>
      <c r="E44" s="1">
        <v>44</v>
      </c>
      <c r="F44" s="1" t="s">
        <v>20</v>
      </c>
      <c r="G44" s="1" t="s">
        <v>21</v>
      </c>
      <c r="H44" s="1" t="s">
        <v>49</v>
      </c>
      <c r="I44" s="1" t="s">
        <v>50</v>
      </c>
      <c r="J44" s="1">
        <v>3</v>
      </c>
      <c r="K44" s="27">
        <v>120</v>
      </c>
      <c r="L44" s="27">
        <v>0</v>
      </c>
      <c r="M44" s="1" t="s">
        <v>31</v>
      </c>
      <c r="N44" s="1" t="s">
        <v>32</v>
      </c>
      <c r="O44" t="str">
        <f t="shared" si="0"/>
        <v>Apr</v>
      </c>
      <c r="P44" t="str">
        <f t="shared" si="1"/>
        <v>2026</v>
      </c>
      <c r="Q44" s="25">
        <f t="shared" si="2"/>
        <v>170</v>
      </c>
      <c r="R44" s="29">
        <f t="shared" si="3"/>
        <v>510</v>
      </c>
      <c r="S44" s="19"/>
      <c r="T44" s="19"/>
      <c r="U44" s="19"/>
      <c r="V44" s="19"/>
      <c r="W44" s="19"/>
      <c r="X44" s="19"/>
    </row>
    <row r="45" spans="1:25" x14ac:dyDescent="0.25">
      <c r="A45" s="5" t="s">
        <v>163</v>
      </c>
      <c r="B45" s="3" t="s">
        <v>164</v>
      </c>
      <c r="C45" s="1" t="s">
        <v>165</v>
      </c>
      <c r="D45" s="1" t="s">
        <v>36</v>
      </c>
      <c r="E45" s="1">
        <v>45</v>
      </c>
      <c r="F45" s="1" t="s">
        <v>43</v>
      </c>
      <c r="G45" s="1" t="s">
        <v>44</v>
      </c>
      <c r="H45" s="1" t="s">
        <v>22</v>
      </c>
      <c r="I45" s="1" t="s">
        <v>23</v>
      </c>
      <c r="J45" s="1">
        <v>2</v>
      </c>
      <c r="K45" s="27">
        <v>850</v>
      </c>
      <c r="L45" s="27">
        <v>0.1</v>
      </c>
      <c r="M45" s="1" t="s">
        <v>24</v>
      </c>
      <c r="N45" s="1" t="s">
        <v>25</v>
      </c>
      <c r="O45" t="str">
        <f t="shared" si="0"/>
        <v>Feb</v>
      </c>
      <c r="P45" t="str">
        <f t="shared" si="1"/>
        <v>2026</v>
      </c>
      <c r="Q45" s="25">
        <f t="shared" si="2"/>
        <v>900</v>
      </c>
      <c r="R45" s="29">
        <f t="shared" si="3"/>
        <v>1620</v>
      </c>
      <c r="S45" s="18"/>
      <c r="T45" s="18"/>
      <c r="U45" s="18"/>
      <c r="V45" s="18"/>
      <c r="W45" s="18"/>
    </row>
    <row r="46" spans="1:25" x14ac:dyDescent="0.25">
      <c r="A46" s="5" t="s">
        <v>166</v>
      </c>
      <c r="B46" s="3" t="s">
        <v>167</v>
      </c>
      <c r="C46" s="1" t="s">
        <v>42</v>
      </c>
      <c r="D46" s="1" t="s">
        <v>36</v>
      </c>
      <c r="E46" s="1">
        <v>48</v>
      </c>
      <c r="F46" s="1" t="s">
        <v>29</v>
      </c>
      <c r="G46" s="1" t="s">
        <v>30</v>
      </c>
      <c r="H46" s="1" t="s">
        <v>73</v>
      </c>
      <c r="I46" s="1" t="s">
        <v>69</v>
      </c>
      <c r="J46" s="1">
        <v>10</v>
      </c>
      <c r="K46" s="27">
        <v>5</v>
      </c>
      <c r="L46" s="27">
        <v>0</v>
      </c>
      <c r="M46" s="1" t="s">
        <v>58</v>
      </c>
      <c r="N46" s="1" t="s">
        <v>25</v>
      </c>
      <c r="O46" t="str">
        <f t="shared" si="0"/>
        <v>Feb</v>
      </c>
      <c r="P46" t="str">
        <f t="shared" si="1"/>
        <v>2026</v>
      </c>
      <c r="Q46" s="25">
        <f t="shared" si="2"/>
        <v>55</v>
      </c>
      <c r="R46" s="29">
        <f t="shared" si="3"/>
        <v>550</v>
      </c>
      <c r="S46" s="18"/>
      <c r="T46" s="18"/>
      <c r="U46" s="18"/>
      <c r="V46" s="18"/>
      <c r="W46" s="18"/>
    </row>
    <row r="47" spans="1:25" x14ac:dyDescent="0.25">
      <c r="A47" s="5" t="s">
        <v>168</v>
      </c>
      <c r="B47" s="3" t="s">
        <v>34</v>
      </c>
      <c r="C47" s="1" t="s">
        <v>126</v>
      </c>
      <c r="D47" s="1" t="s">
        <v>19</v>
      </c>
      <c r="E47" s="1">
        <v>56</v>
      </c>
      <c r="F47" s="1" t="s">
        <v>20</v>
      </c>
      <c r="G47" s="1" t="s">
        <v>21</v>
      </c>
      <c r="H47" s="1" t="s">
        <v>79</v>
      </c>
      <c r="I47" s="1" t="s">
        <v>23</v>
      </c>
      <c r="J47" s="1">
        <v>1</v>
      </c>
      <c r="K47" s="27">
        <v>500</v>
      </c>
      <c r="L47" s="27">
        <v>0</v>
      </c>
      <c r="M47" s="1" t="s">
        <v>39</v>
      </c>
      <c r="N47" s="1" t="s">
        <v>51</v>
      </c>
      <c r="O47" t="str">
        <f t="shared" si="0"/>
        <v>Jan</v>
      </c>
      <c r="P47" t="str">
        <f t="shared" si="1"/>
        <v>2026</v>
      </c>
      <c r="Q47" s="25">
        <f t="shared" si="2"/>
        <v>550</v>
      </c>
      <c r="R47" s="29">
        <f t="shared" si="3"/>
        <v>550</v>
      </c>
      <c r="S47" s="18"/>
      <c r="T47" s="18"/>
      <c r="U47" s="18"/>
      <c r="V47" s="18"/>
      <c r="W47" s="18"/>
    </row>
    <row r="48" spans="1:25" x14ac:dyDescent="0.25">
      <c r="A48" s="5" t="s">
        <v>169</v>
      </c>
      <c r="B48" s="3" t="s">
        <v>170</v>
      </c>
      <c r="C48" s="1" t="s">
        <v>145</v>
      </c>
      <c r="D48" s="1" t="s">
        <v>36</v>
      </c>
      <c r="E48" s="1">
        <v>52</v>
      </c>
      <c r="F48" s="1" t="s">
        <v>37</v>
      </c>
      <c r="G48" s="1" t="s">
        <v>38</v>
      </c>
      <c r="H48" s="1" t="s">
        <v>73</v>
      </c>
      <c r="I48" s="1" t="s">
        <v>69</v>
      </c>
      <c r="J48" s="1">
        <v>3</v>
      </c>
      <c r="K48" s="27">
        <v>5</v>
      </c>
      <c r="L48" s="27">
        <v>0</v>
      </c>
      <c r="M48" s="1" t="s">
        <v>58</v>
      </c>
      <c r="N48" s="1" t="s">
        <v>25</v>
      </c>
      <c r="O48" t="str">
        <f t="shared" si="0"/>
        <v>May</v>
      </c>
      <c r="P48" t="str">
        <f t="shared" si="1"/>
        <v>2026</v>
      </c>
      <c r="Q48" s="25">
        <f t="shared" si="2"/>
        <v>55</v>
      </c>
      <c r="R48" s="29">
        <f t="shared" si="3"/>
        <v>165</v>
      </c>
      <c r="S48" s="18"/>
      <c r="T48" s="18"/>
      <c r="U48" s="18"/>
      <c r="V48" s="18"/>
      <c r="W48" s="18"/>
    </row>
    <row r="49" spans="1:24" x14ac:dyDescent="0.25">
      <c r="A49" s="5" t="s">
        <v>171</v>
      </c>
      <c r="B49" s="3" t="s">
        <v>172</v>
      </c>
      <c r="C49" s="1" t="s">
        <v>72</v>
      </c>
      <c r="D49" s="1" t="s">
        <v>19</v>
      </c>
      <c r="E49" s="1">
        <v>19</v>
      </c>
      <c r="F49" s="1" t="s">
        <v>88</v>
      </c>
      <c r="G49" s="1" t="s">
        <v>89</v>
      </c>
      <c r="H49" s="1" t="s">
        <v>22</v>
      </c>
      <c r="I49" s="1" t="s">
        <v>23</v>
      </c>
      <c r="J49" s="1">
        <v>1</v>
      </c>
      <c r="K49" s="27">
        <v>850</v>
      </c>
      <c r="L49" s="27">
        <v>0.05</v>
      </c>
      <c r="M49" s="1" t="s">
        <v>24</v>
      </c>
      <c r="N49" s="1" t="s">
        <v>55</v>
      </c>
      <c r="O49" t="str">
        <f t="shared" si="0"/>
        <v>Jun</v>
      </c>
      <c r="P49" t="str">
        <f t="shared" si="1"/>
        <v>2026</v>
      </c>
      <c r="Q49" s="25">
        <f t="shared" si="2"/>
        <v>900</v>
      </c>
      <c r="R49" s="29">
        <f t="shared" si="3"/>
        <v>855</v>
      </c>
      <c r="S49" s="18"/>
      <c r="T49" s="18"/>
      <c r="U49" s="18"/>
      <c r="V49" s="18"/>
      <c r="W49" s="18"/>
    </row>
    <row r="50" spans="1:24" x14ac:dyDescent="0.25">
      <c r="A50" s="5" t="s">
        <v>173</v>
      </c>
      <c r="B50" s="3" t="s">
        <v>174</v>
      </c>
      <c r="C50" s="1" t="s">
        <v>35</v>
      </c>
      <c r="D50" s="1" t="s">
        <v>19</v>
      </c>
      <c r="E50" s="1">
        <v>32</v>
      </c>
      <c r="F50" s="1" t="s">
        <v>29</v>
      </c>
      <c r="G50" s="1" t="s">
        <v>30</v>
      </c>
      <c r="H50" s="1" t="s">
        <v>79</v>
      </c>
      <c r="I50" s="1" t="s">
        <v>23</v>
      </c>
      <c r="J50" s="1">
        <v>5</v>
      </c>
      <c r="K50" s="27">
        <v>500</v>
      </c>
      <c r="L50" s="27">
        <v>0.1</v>
      </c>
      <c r="M50" s="1" t="s">
        <v>45</v>
      </c>
      <c r="N50" s="1" t="s">
        <v>25</v>
      </c>
      <c r="O50" t="str">
        <f t="shared" si="0"/>
        <v>May</v>
      </c>
      <c r="P50" t="str">
        <f t="shared" si="1"/>
        <v>2026</v>
      </c>
      <c r="Q50" s="25">
        <f t="shared" si="2"/>
        <v>550</v>
      </c>
      <c r="R50" s="29">
        <f t="shared" si="3"/>
        <v>2475</v>
      </c>
      <c r="S50" s="18"/>
      <c r="T50" s="18"/>
      <c r="U50" s="18"/>
      <c r="V50" s="18"/>
      <c r="W50" s="18"/>
    </row>
    <row r="51" spans="1:24" x14ac:dyDescent="0.25">
      <c r="A51" s="5" t="s">
        <v>175</v>
      </c>
      <c r="B51" s="3" t="s">
        <v>160</v>
      </c>
      <c r="C51" s="1" t="s">
        <v>158</v>
      </c>
      <c r="D51" s="1" t="s">
        <v>19</v>
      </c>
      <c r="E51" s="1">
        <v>40</v>
      </c>
      <c r="F51" s="1" t="s">
        <v>43</v>
      </c>
      <c r="G51" s="1" t="s">
        <v>44</v>
      </c>
      <c r="H51" s="1" t="s">
        <v>68</v>
      </c>
      <c r="I51" s="1" t="s">
        <v>69</v>
      </c>
      <c r="J51" s="1">
        <v>4</v>
      </c>
      <c r="K51" s="27">
        <v>2</v>
      </c>
      <c r="L51" s="27">
        <v>0.15</v>
      </c>
      <c r="M51" s="1" t="s">
        <v>24</v>
      </c>
      <c r="N51" s="1" t="s">
        <v>25</v>
      </c>
      <c r="O51" t="str">
        <f t="shared" si="0"/>
        <v>Jan</v>
      </c>
      <c r="P51" t="str">
        <f t="shared" si="1"/>
        <v>2026</v>
      </c>
      <c r="Q51" s="25">
        <f t="shared" si="2"/>
        <v>52</v>
      </c>
      <c r="R51" s="29">
        <f t="shared" si="3"/>
        <v>176.79999999999998</v>
      </c>
      <c r="S51" s="20"/>
      <c r="T51" s="20"/>
      <c r="U51" s="20"/>
      <c r="V51" s="18"/>
      <c r="W51" s="18"/>
    </row>
    <row r="52" spans="1:24" x14ac:dyDescent="0.25">
      <c r="A52" s="5" t="s">
        <v>176</v>
      </c>
      <c r="B52" s="3" t="s">
        <v>177</v>
      </c>
      <c r="C52" s="1" t="s">
        <v>96</v>
      </c>
      <c r="D52" s="1" t="s">
        <v>19</v>
      </c>
      <c r="E52" s="1">
        <v>39</v>
      </c>
      <c r="F52" s="1" t="s">
        <v>88</v>
      </c>
      <c r="G52" s="1" t="s">
        <v>89</v>
      </c>
      <c r="H52" s="1" t="s">
        <v>79</v>
      </c>
      <c r="I52" s="1" t="s">
        <v>23</v>
      </c>
      <c r="J52" s="1">
        <v>2</v>
      </c>
      <c r="K52" s="27">
        <v>500</v>
      </c>
      <c r="L52" s="27">
        <v>0.05</v>
      </c>
      <c r="M52" s="1" t="s">
        <v>31</v>
      </c>
      <c r="N52" s="1" t="s">
        <v>51</v>
      </c>
      <c r="O52" t="str">
        <f t="shared" si="0"/>
        <v>Jun</v>
      </c>
      <c r="P52" t="str">
        <f t="shared" si="1"/>
        <v>2026</v>
      </c>
      <c r="Q52" s="25">
        <f t="shared" si="2"/>
        <v>550</v>
      </c>
      <c r="R52" s="29">
        <f t="shared" si="3"/>
        <v>1045</v>
      </c>
    </row>
    <row r="53" spans="1:24" x14ac:dyDescent="0.25">
      <c r="A53" s="5" t="s">
        <v>178</v>
      </c>
      <c r="B53" s="3" t="s">
        <v>179</v>
      </c>
      <c r="C53" s="1" t="s">
        <v>180</v>
      </c>
      <c r="D53" s="1" t="s">
        <v>19</v>
      </c>
      <c r="E53" s="1">
        <v>53</v>
      </c>
      <c r="F53" s="1" t="s">
        <v>37</v>
      </c>
      <c r="G53" s="1" t="s">
        <v>38</v>
      </c>
      <c r="H53" s="1" t="s">
        <v>73</v>
      </c>
      <c r="I53" s="1" t="s">
        <v>69</v>
      </c>
      <c r="J53" s="1">
        <v>3</v>
      </c>
      <c r="K53" s="27">
        <v>5</v>
      </c>
      <c r="L53" s="27">
        <v>0.05</v>
      </c>
      <c r="M53" s="1" t="s">
        <v>58</v>
      </c>
      <c r="N53" s="1" t="s">
        <v>25</v>
      </c>
      <c r="O53" t="str">
        <f t="shared" si="0"/>
        <v>Jan</v>
      </c>
      <c r="P53" t="str">
        <f t="shared" si="1"/>
        <v>2026</v>
      </c>
      <c r="Q53" s="25">
        <f t="shared" si="2"/>
        <v>55</v>
      </c>
      <c r="R53" s="29">
        <f t="shared" si="3"/>
        <v>156.75</v>
      </c>
    </row>
    <row r="54" spans="1:24" x14ac:dyDescent="0.25">
      <c r="A54" s="5" t="s">
        <v>181</v>
      </c>
      <c r="B54" s="3" t="s">
        <v>71</v>
      </c>
      <c r="C54" s="1" t="s">
        <v>182</v>
      </c>
      <c r="D54" s="1" t="s">
        <v>19</v>
      </c>
      <c r="E54" s="1">
        <v>58</v>
      </c>
      <c r="F54" s="1" t="s">
        <v>43</v>
      </c>
      <c r="G54" s="1" t="s">
        <v>44</v>
      </c>
      <c r="H54" s="1" t="s">
        <v>62</v>
      </c>
      <c r="I54" s="1" t="s">
        <v>23</v>
      </c>
      <c r="J54" s="1">
        <v>4</v>
      </c>
      <c r="K54" s="27">
        <v>15</v>
      </c>
      <c r="L54" s="27">
        <v>0.05</v>
      </c>
      <c r="M54" s="1" t="s">
        <v>24</v>
      </c>
      <c r="N54" s="1" t="s">
        <v>25</v>
      </c>
      <c r="O54" t="str">
        <f t="shared" si="0"/>
        <v>May</v>
      </c>
      <c r="P54" t="str">
        <f t="shared" si="1"/>
        <v>2026</v>
      </c>
      <c r="Q54" s="25">
        <f t="shared" si="2"/>
        <v>65</v>
      </c>
      <c r="R54" s="29">
        <f t="shared" si="3"/>
        <v>247</v>
      </c>
      <c r="S54" s="19"/>
      <c r="T54" s="19"/>
      <c r="U54" s="19"/>
      <c r="V54" s="19"/>
      <c r="W54" s="19"/>
      <c r="X54" s="19"/>
    </row>
    <row r="55" spans="1:24" x14ac:dyDescent="0.25">
      <c r="A55" s="5" t="s">
        <v>183</v>
      </c>
      <c r="B55" s="3" t="s">
        <v>47</v>
      </c>
      <c r="C55" s="1" t="s">
        <v>108</v>
      </c>
      <c r="D55" s="1" t="s">
        <v>36</v>
      </c>
      <c r="E55" s="1">
        <v>59</v>
      </c>
      <c r="F55" s="1" t="s">
        <v>43</v>
      </c>
      <c r="G55" s="1" t="s">
        <v>44</v>
      </c>
      <c r="H55" s="1" t="s">
        <v>49</v>
      </c>
      <c r="I55" s="1" t="s">
        <v>50</v>
      </c>
      <c r="J55" s="1">
        <v>3</v>
      </c>
      <c r="K55" s="27">
        <v>120</v>
      </c>
      <c r="L55" s="27">
        <v>0</v>
      </c>
      <c r="M55" s="1" t="s">
        <v>45</v>
      </c>
      <c r="N55" s="1" t="s">
        <v>25</v>
      </c>
      <c r="O55" t="str">
        <f t="shared" si="0"/>
        <v>Mar</v>
      </c>
      <c r="P55" t="str">
        <f t="shared" si="1"/>
        <v>2026</v>
      </c>
      <c r="Q55" s="25">
        <f t="shared" si="2"/>
        <v>170</v>
      </c>
      <c r="R55" s="29">
        <f t="shared" si="3"/>
        <v>510</v>
      </c>
      <c r="S55" s="19"/>
      <c r="T55" s="19"/>
      <c r="U55" s="19"/>
      <c r="V55" s="19"/>
      <c r="W55" s="19"/>
      <c r="X55" s="19"/>
    </row>
    <row r="56" spans="1:24" x14ac:dyDescent="0.25">
      <c r="A56" s="5" t="s">
        <v>184</v>
      </c>
      <c r="B56" s="3" t="s">
        <v>185</v>
      </c>
      <c r="C56" s="1" t="s">
        <v>131</v>
      </c>
      <c r="D56" s="1" t="s">
        <v>19</v>
      </c>
      <c r="E56" s="1">
        <v>57</v>
      </c>
      <c r="F56" s="1" t="s">
        <v>88</v>
      </c>
      <c r="G56" s="1" t="s">
        <v>89</v>
      </c>
      <c r="H56" s="1" t="s">
        <v>118</v>
      </c>
      <c r="I56" s="1" t="s">
        <v>23</v>
      </c>
      <c r="J56" s="1">
        <v>2</v>
      </c>
      <c r="K56" s="27">
        <v>180</v>
      </c>
      <c r="L56" s="27">
        <v>0</v>
      </c>
      <c r="M56" s="1" t="s">
        <v>45</v>
      </c>
      <c r="N56" s="1" t="s">
        <v>25</v>
      </c>
      <c r="O56" t="str">
        <f t="shared" si="0"/>
        <v>Feb</v>
      </c>
      <c r="P56" t="str">
        <f t="shared" si="1"/>
        <v>2026</v>
      </c>
      <c r="Q56" s="25">
        <f t="shared" si="2"/>
        <v>230</v>
      </c>
      <c r="R56" s="29">
        <f t="shared" si="3"/>
        <v>460</v>
      </c>
      <c r="S56" s="19"/>
      <c r="T56" s="19"/>
      <c r="U56" s="19"/>
      <c r="V56" s="19"/>
      <c r="W56" s="19"/>
      <c r="X56" s="19"/>
    </row>
    <row r="57" spans="1:24" x14ac:dyDescent="0.25">
      <c r="A57" s="5" t="s">
        <v>186</v>
      </c>
      <c r="B57" s="3" t="s">
        <v>187</v>
      </c>
      <c r="C57" s="1" t="s">
        <v>188</v>
      </c>
      <c r="D57" s="1" t="s">
        <v>19</v>
      </c>
      <c r="E57" s="1">
        <v>53</v>
      </c>
      <c r="F57" s="1" t="s">
        <v>20</v>
      </c>
      <c r="G57" s="1" t="s">
        <v>21</v>
      </c>
      <c r="H57" s="1" t="s">
        <v>118</v>
      </c>
      <c r="I57" s="1" t="s">
        <v>23</v>
      </c>
      <c r="J57" s="1">
        <v>8</v>
      </c>
      <c r="K57" s="27">
        <v>180</v>
      </c>
      <c r="L57" s="27">
        <v>0.15</v>
      </c>
      <c r="M57" s="1" t="s">
        <v>45</v>
      </c>
      <c r="N57" s="1" t="s">
        <v>25</v>
      </c>
      <c r="O57" t="str">
        <f t="shared" si="0"/>
        <v>Jan</v>
      </c>
      <c r="P57" t="str">
        <f t="shared" si="1"/>
        <v>2026</v>
      </c>
      <c r="Q57" s="25">
        <f t="shared" si="2"/>
        <v>230</v>
      </c>
      <c r="R57" s="29">
        <f t="shared" si="3"/>
        <v>1564</v>
      </c>
      <c r="S57" s="19"/>
      <c r="T57" s="19"/>
      <c r="U57" s="19"/>
      <c r="V57" s="19"/>
      <c r="W57" s="19"/>
      <c r="X57" s="19"/>
    </row>
    <row r="58" spans="1:24" x14ac:dyDescent="0.25">
      <c r="A58" s="5" t="s">
        <v>189</v>
      </c>
      <c r="B58" s="3" t="s">
        <v>125</v>
      </c>
      <c r="C58" s="1" t="s">
        <v>78</v>
      </c>
      <c r="D58" s="1" t="s">
        <v>19</v>
      </c>
      <c r="E58" s="1">
        <v>47</v>
      </c>
      <c r="F58" s="1" t="s">
        <v>29</v>
      </c>
      <c r="G58" s="1" t="s">
        <v>30</v>
      </c>
      <c r="H58" s="1" t="s">
        <v>73</v>
      </c>
      <c r="I58" s="1" t="s">
        <v>69</v>
      </c>
      <c r="J58" s="1">
        <v>8</v>
      </c>
      <c r="K58" s="27">
        <v>5</v>
      </c>
      <c r="L58" s="27">
        <v>0.1</v>
      </c>
      <c r="M58" s="1" t="s">
        <v>45</v>
      </c>
      <c r="N58" s="1" t="s">
        <v>55</v>
      </c>
      <c r="O58" t="str">
        <f t="shared" si="0"/>
        <v>May</v>
      </c>
      <c r="P58" t="str">
        <f t="shared" si="1"/>
        <v>2026</v>
      </c>
      <c r="Q58" s="25">
        <f t="shared" si="2"/>
        <v>55</v>
      </c>
      <c r="R58" s="29">
        <f t="shared" si="3"/>
        <v>396</v>
      </c>
      <c r="S58" s="19"/>
      <c r="T58" s="19"/>
      <c r="U58" s="19"/>
      <c r="V58" s="19"/>
      <c r="W58" s="19"/>
      <c r="X58" s="19"/>
    </row>
    <row r="59" spans="1:24" x14ac:dyDescent="0.25">
      <c r="A59" s="5" t="s">
        <v>190</v>
      </c>
      <c r="B59" s="3" t="s">
        <v>191</v>
      </c>
      <c r="C59" s="1" t="s">
        <v>48</v>
      </c>
      <c r="D59" s="1" t="s">
        <v>36</v>
      </c>
      <c r="E59" s="1">
        <v>39</v>
      </c>
      <c r="F59" s="1" t="s">
        <v>29</v>
      </c>
      <c r="G59" s="1" t="s">
        <v>30</v>
      </c>
      <c r="H59" s="1" t="s">
        <v>62</v>
      </c>
      <c r="I59" s="1" t="s">
        <v>23</v>
      </c>
      <c r="J59" s="1">
        <v>1</v>
      </c>
      <c r="K59" s="27">
        <v>15</v>
      </c>
      <c r="L59" s="27">
        <v>0.1</v>
      </c>
      <c r="M59" s="1" t="s">
        <v>24</v>
      </c>
      <c r="N59" s="1" t="s">
        <v>25</v>
      </c>
      <c r="O59" t="str">
        <f t="shared" si="0"/>
        <v>Jan</v>
      </c>
      <c r="P59" t="str">
        <f t="shared" si="1"/>
        <v>2026</v>
      </c>
      <c r="Q59" s="25">
        <f t="shared" si="2"/>
        <v>65</v>
      </c>
      <c r="R59" s="29">
        <f t="shared" si="3"/>
        <v>58.5</v>
      </c>
      <c r="S59" s="19"/>
      <c r="T59" s="19"/>
      <c r="U59" s="19"/>
      <c r="V59" s="19"/>
      <c r="W59" s="19"/>
      <c r="X59" s="19"/>
    </row>
    <row r="60" spans="1:24" x14ac:dyDescent="0.25">
      <c r="A60" s="5" t="s">
        <v>192</v>
      </c>
      <c r="B60" s="3" t="s">
        <v>193</v>
      </c>
      <c r="C60" s="1" t="s">
        <v>108</v>
      </c>
      <c r="D60" s="1" t="s">
        <v>36</v>
      </c>
      <c r="E60" s="1">
        <v>57</v>
      </c>
      <c r="F60" s="1" t="s">
        <v>20</v>
      </c>
      <c r="G60" s="1" t="s">
        <v>21</v>
      </c>
      <c r="H60" s="1" t="s">
        <v>22</v>
      </c>
      <c r="I60" s="1" t="s">
        <v>23</v>
      </c>
      <c r="J60" s="1">
        <v>10</v>
      </c>
      <c r="K60" s="27">
        <v>850</v>
      </c>
      <c r="L60" s="27">
        <v>0.15</v>
      </c>
      <c r="M60" s="1" t="s">
        <v>39</v>
      </c>
      <c r="N60" s="1" t="s">
        <v>51</v>
      </c>
      <c r="O60" t="str">
        <f t="shared" si="0"/>
        <v>Apr</v>
      </c>
      <c r="P60" t="str">
        <f t="shared" si="1"/>
        <v>2026</v>
      </c>
      <c r="Q60" s="25">
        <f t="shared" si="2"/>
        <v>900</v>
      </c>
      <c r="R60" s="29">
        <f t="shared" si="3"/>
        <v>7650</v>
      </c>
      <c r="S60" s="19"/>
      <c r="T60" s="19"/>
      <c r="U60" s="19"/>
      <c r="V60" s="19"/>
      <c r="W60" s="19"/>
      <c r="X60" s="19"/>
    </row>
    <row r="61" spans="1:24" x14ac:dyDescent="0.25">
      <c r="A61" s="5" t="s">
        <v>194</v>
      </c>
      <c r="B61" s="3" t="s">
        <v>195</v>
      </c>
      <c r="C61" s="1" t="s">
        <v>87</v>
      </c>
      <c r="D61" s="1" t="s">
        <v>19</v>
      </c>
      <c r="E61" s="1">
        <v>28</v>
      </c>
      <c r="F61" s="1" t="s">
        <v>88</v>
      </c>
      <c r="G61" s="1" t="s">
        <v>89</v>
      </c>
      <c r="H61" s="1" t="s">
        <v>118</v>
      </c>
      <c r="I61" s="1" t="s">
        <v>23</v>
      </c>
      <c r="J61" s="1">
        <v>1</v>
      </c>
      <c r="K61" s="27">
        <v>180</v>
      </c>
      <c r="L61" s="27">
        <v>0.05</v>
      </c>
      <c r="M61" s="1" t="s">
        <v>39</v>
      </c>
      <c r="N61" s="1" t="s">
        <v>51</v>
      </c>
      <c r="O61" t="str">
        <f t="shared" si="0"/>
        <v>Jan</v>
      </c>
      <c r="P61" t="str">
        <f t="shared" si="1"/>
        <v>2026</v>
      </c>
      <c r="Q61" s="25">
        <f t="shared" si="2"/>
        <v>230</v>
      </c>
      <c r="R61" s="29">
        <f t="shared" si="3"/>
        <v>218.5</v>
      </c>
    </row>
    <row r="62" spans="1:24" x14ac:dyDescent="0.25">
      <c r="A62" s="5" t="s">
        <v>196</v>
      </c>
      <c r="B62" s="3" t="s">
        <v>197</v>
      </c>
      <c r="C62" s="1" t="s">
        <v>61</v>
      </c>
      <c r="D62" s="1" t="s">
        <v>36</v>
      </c>
      <c r="E62" s="1">
        <v>59</v>
      </c>
      <c r="F62" s="1" t="s">
        <v>37</v>
      </c>
      <c r="G62" s="1" t="s">
        <v>38</v>
      </c>
      <c r="H62" s="1" t="s">
        <v>62</v>
      </c>
      <c r="I62" s="1" t="s">
        <v>23</v>
      </c>
      <c r="J62" s="1">
        <v>5</v>
      </c>
      <c r="K62" s="27">
        <v>15</v>
      </c>
      <c r="L62" s="27">
        <v>0.15</v>
      </c>
      <c r="M62" s="1" t="s">
        <v>24</v>
      </c>
      <c r="N62" s="1" t="s">
        <v>55</v>
      </c>
      <c r="O62" t="str">
        <f t="shared" si="0"/>
        <v>Mar</v>
      </c>
      <c r="P62" t="str">
        <f t="shared" si="1"/>
        <v>2026</v>
      </c>
      <c r="Q62" s="25">
        <f t="shared" si="2"/>
        <v>65</v>
      </c>
      <c r="R62" s="29">
        <f t="shared" si="3"/>
        <v>276.25</v>
      </c>
    </row>
    <row r="63" spans="1:24" x14ac:dyDescent="0.25">
      <c r="A63" s="5" t="s">
        <v>198</v>
      </c>
      <c r="B63" s="3" t="s">
        <v>199</v>
      </c>
      <c r="C63" s="1" t="s">
        <v>165</v>
      </c>
      <c r="D63" s="1" t="s">
        <v>36</v>
      </c>
      <c r="E63" s="1">
        <v>40</v>
      </c>
      <c r="F63" s="1" t="s">
        <v>37</v>
      </c>
      <c r="G63" s="1" t="s">
        <v>38</v>
      </c>
      <c r="H63" s="1" t="s">
        <v>73</v>
      </c>
      <c r="I63" s="1" t="s">
        <v>69</v>
      </c>
      <c r="J63" s="1">
        <v>4</v>
      </c>
      <c r="K63" s="27">
        <v>5</v>
      </c>
      <c r="L63" s="27">
        <v>0.05</v>
      </c>
      <c r="M63" s="1" t="s">
        <v>24</v>
      </c>
      <c r="N63" s="1" t="s">
        <v>32</v>
      </c>
      <c r="O63" t="str">
        <f t="shared" si="0"/>
        <v>Mar</v>
      </c>
      <c r="P63" t="str">
        <f t="shared" si="1"/>
        <v>2026</v>
      </c>
      <c r="Q63" s="25">
        <f t="shared" si="2"/>
        <v>55</v>
      </c>
      <c r="R63" s="29">
        <f t="shared" si="3"/>
        <v>209</v>
      </c>
      <c r="S63" s="15"/>
      <c r="T63" s="15"/>
      <c r="U63" s="15"/>
      <c r="V63" s="15"/>
      <c r="W63" s="15"/>
      <c r="X63" s="15"/>
    </row>
    <row r="64" spans="1:24" x14ac:dyDescent="0.25">
      <c r="A64" s="5" t="s">
        <v>200</v>
      </c>
      <c r="B64" s="3" t="s">
        <v>201</v>
      </c>
      <c r="C64" s="1" t="s">
        <v>182</v>
      </c>
      <c r="D64" s="1" t="s">
        <v>36</v>
      </c>
      <c r="E64" s="1">
        <v>51</v>
      </c>
      <c r="F64" s="1" t="s">
        <v>29</v>
      </c>
      <c r="G64" s="1" t="s">
        <v>30</v>
      </c>
      <c r="H64" s="1" t="s">
        <v>68</v>
      </c>
      <c r="I64" s="1" t="s">
        <v>69</v>
      </c>
      <c r="J64" s="1">
        <v>5</v>
      </c>
      <c r="K64" s="27">
        <v>2</v>
      </c>
      <c r="L64" s="27">
        <v>0.05</v>
      </c>
      <c r="M64" s="1" t="s">
        <v>93</v>
      </c>
      <c r="N64" s="1" t="s">
        <v>25</v>
      </c>
      <c r="O64" t="str">
        <f t="shared" si="0"/>
        <v>May</v>
      </c>
      <c r="P64" t="str">
        <f t="shared" si="1"/>
        <v>2026</v>
      </c>
      <c r="Q64" s="25">
        <f t="shared" si="2"/>
        <v>52</v>
      </c>
      <c r="R64" s="29">
        <f t="shared" si="3"/>
        <v>247</v>
      </c>
      <c r="S64" s="16"/>
      <c r="T64" s="16"/>
      <c r="U64" s="16"/>
      <c r="V64" s="16"/>
      <c r="W64" s="16"/>
      <c r="X64" s="17"/>
    </row>
    <row r="65" spans="1:24" x14ac:dyDescent="0.25">
      <c r="A65" s="5" t="s">
        <v>202</v>
      </c>
      <c r="B65" s="3" t="s">
        <v>142</v>
      </c>
      <c r="C65" s="1" t="s">
        <v>102</v>
      </c>
      <c r="D65" s="1" t="s">
        <v>36</v>
      </c>
      <c r="E65" s="1">
        <v>57</v>
      </c>
      <c r="F65" s="1" t="s">
        <v>37</v>
      </c>
      <c r="G65" s="1" t="s">
        <v>38</v>
      </c>
      <c r="H65" s="1" t="s">
        <v>49</v>
      </c>
      <c r="I65" s="1" t="s">
        <v>50</v>
      </c>
      <c r="J65" s="1">
        <v>5</v>
      </c>
      <c r="K65" s="27">
        <v>120</v>
      </c>
      <c r="L65" s="27">
        <v>0.05</v>
      </c>
      <c r="M65" s="1" t="s">
        <v>24</v>
      </c>
      <c r="N65" s="1" t="s">
        <v>25</v>
      </c>
      <c r="O65" t="str">
        <f t="shared" si="0"/>
        <v>May</v>
      </c>
      <c r="P65" t="str">
        <f t="shared" si="1"/>
        <v>2026</v>
      </c>
      <c r="Q65" s="25">
        <f t="shared" si="2"/>
        <v>170</v>
      </c>
      <c r="R65" s="29">
        <f t="shared" si="3"/>
        <v>807.5</v>
      </c>
      <c r="S65" s="16"/>
      <c r="T65" s="16"/>
      <c r="U65" s="16"/>
      <c r="V65" s="16"/>
      <c r="W65" s="16"/>
      <c r="X65" s="17"/>
    </row>
    <row r="66" spans="1:24" x14ac:dyDescent="0.25">
      <c r="A66" s="5" t="s">
        <v>203</v>
      </c>
      <c r="B66" s="3" t="s">
        <v>157</v>
      </c>
      <c r="C66" s="1" t="s">
        <v>28</v>
      </c>
      <c r="D66" s="1" t="s">
        <v>19</v>
      </c>
      <c r="E66" s="1">
        <v>59</v>
      </c>
      <c r="F66" s="1" t="s">
        <v>37</v>
      </c>
      <c r="G66" s="1" t="s">
        <v>38</v>
      </c>
      <c r="H66" s="1" t="s">
        <v>62</v>
      </c>
      <c r="I66" s="1" t="s">
        <v>23</v>
      </c>
      <c r="J66" s="1">
        <v>6</v>
      </c>
      <c r="K66" s="27">
        <v>15</v>
      </c>
      <c r="L66" s="27">
        <v>0.05</v>
      </c>
      <c r="M66" s="1" t="s">
        <v>93</v>
      </c>
      <c r="N66" s="1" t="s">
        <v>51</v>
      </c>
      <c r="O66" t="str">
        <f t="shared" ref="O66:O129" si="4">TEXT(B:B,"MMM")</f>
        <v>Feb</v>
      </c>
      <c r="P66" t="str">
        <f t="shared" ref="P66:P129" si="5">TEXT(B:B,"YYYY")</f>
        <v>2026</v>
      </c>
      <c r="Q66" s="25">
        <f t="shared" ref="Q66:Q129" si="6">K:K+50</f>
        <v>65</v>
      </c>
      <c r="R66" s="29">
        <f t="shared" si="3"/>
        <v>370.5</v>
      </c>
      <c r="S66" s="16"/>
      <c r="T66" s="16"/>
      <c r="U66" s="16"/>
      <c r="V66" s="16"/>
      <c r="W66" s="16"/>
      <c r="X66" s="17"/>
    </row>
    <row r="67" spans="1:24" x14ac:dyDescent="0.25">
      <c r="A67" s="5" t="s">
        <v>204</v>
      </c>
      <c r="B67" s="3" t="s">
        <v>160</v>
      </c>
      <c r="C67" s="1" t="s">
        <v>205</v>
      </c>
      <c r="D67" s="1" t="s">
        <v>36</v>
      </c>
      <c r="E67" s="1">
        <v>59</v>
      </c>
      <c r="F67" s="1" t="s">
        <v>29</v>
      </c>
      <c r="G67" s="1" t="s">
        <v>30</v>
      </c>
      <c r="H67" s="1" t="s">
        <v>79</v>
      </c>
      <c r="I67" s="1" t="s">
        <v>23</v>
      </c>
      <c r="J67" s="1">
        <v>8</v>
      </c>
      <c r="K67" s="27">
        <v>500</v>
      </c>
      <c r="L67" s="27">
        <v>0.1</v>
      </c>
      <c r="M67" s="1" t="s">
        <v>24</v>
      </c>
      <c r="N67" s="1" t="s">
        <v>55</v>
      </c>
      <c r="O67" t="str">
        <f t="shared" si="4"/>
        <v>Jan</v>
      </c>
      <c r="P67" t="str">
        <f t="shared" si="5"/>
        <v>2026</v>
      </c>
      <c r="Q67" s="25">
        <f t="shared" si="6"/>
        <v>550</v>
      </c>
      <c r="R67" s="29">
        <f t="shared" ref="R67:R130" si="7">J:J*Q:Q*(1-L:L)</f>
        <v>3960</v>
      </c>
      <c r="S67" s="16"/>
      <c r="T67" s="16"/>
      <c r="U67" s="16"/>
      <c r="V67" s="16"/>
      <c r="W67" s="16"/>
      <c r="X67" s="17"/>
    </row>
    <row r="68" spans="1:24" x14ac:dyDescent="0.25">
      <c r="A68" s="5" t="s">
        <v>206</v>
      </c>
      <c r="B68" s="3" t="s">
        <v>207</v>
      </c>
      <c r="C68" s="1" t="s">
        <v>155</v>
      </c>
      <c r="D68" s="1" t="s">
        <v>36</v>
      </c>
      <c r="E68" s="1">
        <v>55</v>
      </c>
      <c r="F68" s="1" t="s">
        <v>29</v>
      </c>
      <c r="G68" s="1" t="s">
        <v>30</v>
      </c>
      <c r="H68" s="1" t="s">
        <v>73</v>
      </c>
      <c r="I68" s="1" t="s">
        <v>69</v>
      </c>
      <c r="J68" s="1">
        <v>6</v>
      </c>
      <c r="K68" s="27">
        <v>5</v>
      </c>
      <c r="L68" s="27">
        <v>0</v>
      </c>
      <c r="M68" s="1" t="s">
        <v>39</v>
      </c>
      <c r="N68" s="1" t="s">
        <v>25</v>
      </c>
      <c r="O68" t="str">
        <f t="shared" si="4"/>
        <v>Jan</v>
      </c>
      <c r="P68" t="str">
        <f t="shared" si="5"/>
        <v>2026</v>
      </c>
      <c r="Q68" s="25">
        <f t="shared" si="6"/>
        <v>55</v>
      </c>
      <c r="R68" s="29">
        <f t="shared" si="7"/>
        <v>330</v>
      </c>
      <c r="S68" s="16"/>
      <c r="T68" s="16"/>
      <c r="U68" s="16"/>
      <c r="V68" s="16"/>
      <c r="W68" s="16"/>
      <c r="X68" s="17"/>
    </row>
    <row r="69" spans="1:24" x14ac:dyDescent="0.25">
      <c r="A69" s="5" t="s">
        <v>208</v>
      </c>
      <c r="B69" s="3" t="s">
        <v>209</v>
      </c>
      <c r="C69" s="1" t="s">
        <v>72</v>
      </c>
      <c r="D69" s="1" t="s">
        <v>19</v>
      </c>
      <c r="E69" s="1">
        <v>32</v>
      </c>
      <c r="F69" s="1" t="s">
        <v>29</v>
      </c>
      <c r="G69" s="1" t="s">
        <v>30</v>
      </c>
      <c r="H69" s="1" t="s">
        <v>22</v>
      </c>
      <c r="I69" s="1" t="s">
        <v>23</v>
      </c>
      <c r="J69" s="1">
        <v>8</v>
      </c>
      <c r="K69" s="27">
        <v>850</v>
      </c>
      <c r="L69" s="27">
        <v>0.05</v>
      </c>
      <c r="M69" s="1" t="s">
        <v>45</v>
      </c>
      <c r="N69" s="1" t="s">
        <v>32</v>
      </c>
      <c r="O69" t="str">
        <f t="shared" si="4"/>
        <v>Apr</v>
      </c>
      <c r="P69" t="str">
        <f t="shared" si="5"/>
        <v>2026</v>
      </c>
      <c r="Q69" s="25">
        <f t="shared" si="6"/>
        <v>900</v>
      </c>
      <c r="R69" s="29">
        <f t="shared" si="7"/>
        <v>6840</v>
      </c>
      <c r="S69" s="16"/>
      <c r="T69" s="16"/>
      <c r="U69" s="16"/>
      <c r="V69" s="16"/>
      <c r="W69" s="16"/>
      <c r="X69" s="17"/>
    </row>
    <row r="70" spans="1:24" x14ac:dyDescent="0.25">
      <c r="A70" s="5" t="s">
        <v>210</v>
      </c>
      <c r="B70" s="3" t="s">
        <v>148</v>
      </c>
      <c r="C70" s="1" t="s">
        <v>105</v>
      </c>
      <c r="D70" s="1" t="s">
        <v>19</v>
      </c>
      <c r="E70" s="1">
        <v>29</v>
      </c>
      <c r="F70" s="1" t="s">
        <v>37</v>
      </c>
      <c r="G70" s="1" t="s">
        <v>38</v>
      </c>
      <c r="H70" s="1" t="s">
        <v>109</v>
      </c>
      <c r="I70" s="1" t="s">
        <v>50</v>
      </c>
      <c r="J70" s="1">
        <v>4</v>
      </c>
      <c r="K70" s="27">
        <v>80</v>
      </c>
      <c r="L70" s="27">
        <v>0.05</v>
      </c>
      <c r="M70" s="1" t="s">
        <v>93</v>
      </c>
      <c r="N70" s="1" t="s">
        <v>25</v>
      </c>
      <c r="O70" t="str">
        <f t="shared" si="4"/>
        <v>Jun</v>
      </c>
      <c r="P70" t="str">
        <f t="shared" si="5"/>
        <v>2026</v>
      </c>
      <c r="Q70" s="25">
        <f t="shared" si="6"/>
        <v>130</v>
      </c>
      <c r="R70" s="29">
        <f t="shared" si="7"/>
        <v>494</v>
      </c>
    </row>
    <row r="71" spans="1:24" x14ac:dyDescent="0.25">
      <c r="A71" s="5" t="s">
        <v>211</v>
      </c>
      <c r="B71" s="3" t="s">
        <v>212</v>
      </c>
      <c r="C71" s="1" t="s">
        <v>136</v>
      </c>
      <c r="D71" s="1" t="s">
        <v>19</v>
      </c>
      <c r="E71" s="1">
        <v>28</v>
      </c>
      <c r="F71" s="1" t="s">
        <v>20</v>
      </c>
      <c r="G71" s="1" t="s">
        <v>21</v>
      </c>
      <c r="H71" s="1" t="s">
        <v>73</v>
      </c>
      <c r="I71" s="1" t="s">
        <v>69</v>
      </c>
      <c r="J71" s="1">
        <v>8</v>
      </c>
      <c r="K71" s="27">
        <v>5</v>
      </c>
      <c r="L71" s="27">
        <v>0.15</v>
      </c>
      <c r="M71" s="1" t="s">
        <v>45</v>
      </c>
      <c r="N71" s="1" t="s">
        <v>32</v>
      </c>
      <c r="O71" t="str">
        <f t="shared" si="4"/>
        <v>Apr</v>
      </c>
      <c r="P71" t="str">
        <f t="shared" si="5"/>
        <v>2026</v>
      </c>
      <c r="Q71" s="25">
        <f t="shared" si="6"/>
        <v>55</v>
      </c>
      <c r="R71" s="29">
        <f t="shared" si="7"/>
        <v>374</v>
      </c>
    </row>
    <row r="72" spans="1:24" x14ac:dyDescent="0.25">
      <c r="A72" s="5" t="s">
        <v>213</v>
      </c>
      <c r="B72" s="3" t="s">
        <v>214</v>
      </c>
      <c r="C72" s="1" t="s">
        <v>92</v>
      </c>
      <c r="D72" s="1" t="s">
        <v>36</v>
      </c>
      <c r="E72" s="1">
        <v>51</v>
      </c>
      <c r="F72" s="1" t="s">
        <v>37</v>
      </c>
      <c r="G72" s="1" t="s">
        <v>38</v>
      </c>
      <c r="H72" s="1" t="s">
        <v>49</v>
      </c>
      <c r="I72" s="1" t="s">
        <v>50</v>
      </c>
      <c r="J72" s="1">
        <v>8</v>
      </c>
      <c r="K72" s="27">
        <v>120</v>
      </c>
      <c r="L72" s="27">
        <v>0.1</v>
      </c>
      <c r="M72" s="1" t="s">
        <v>39</v>
      </c>
      <c r="N72" s="1" t="s">
        <v>25</v>
      </c>
      <c r="O72" t="str">
        <f t="shared" si="4"/>
        <v>May</v>
      </c>
      <c r="P72" t="str">
        <f t="shared" si="5"/>
        <v>2026</v>
      </c>
      <c r="Q72" s="25">
        <f t="shared" si="6"/>
        <v>170</v>
      </c>
      <c r="R72" s="29">
        <f t="shared" si="7"/>
        <v>1224</v>
      </c>
    </row>
    <row r="73" spans="1:24" x14ac:dyDescent="0.25">
      <c r="A73" s="5" t="s">
        <v>215</v>
      </c>
      <c r="B73" s="3" t="s">
        <v>216</v>
      </c>
      <c r="C73" s="1" t="s">
        <v>92</v>
      </c>
      <c r="D73" s="1" t="s">
        <v>36</v>
      </c>
      <c r="E73" s="1">
        <v>60</v>
      </c>
      <c r="F73" s="1" t="s">
        <v>20</v>
      </c>
      <c r="G73" s="1" t="s">
        <v>21</v>
      </c>
      <c r="H73" s="1" t="s">
        <v>68</v>
      </c>
      <c r="I73" s="1" t="s">
        <v>69</v>
      </c>
      <c r="J73" s="1">
        <v>5</v>
      </c>
      <c r="K73" s="27">
        <v>2</v>
      </c>
      <c r="L73" s="27">
        <v>0.1</v>
      </c>
      <c r="M73" s="1" t="s">
        <v>39</v>
      </c>
      <c r="N73" s="1" t="s">
        <v>25</v>
      </c>
      <c r="O73" t="str">
        <f t="shared" si="4"/>
        <v>Jun</v>
      </c>
      <c r="P73" t="str">
        <f t="shared" si="5"/>
        <v>2026</v>
      </c>
      <c r="Q73" s="25">
        <f t="shared" si="6"/>
        <v>52</v>
      </c>
      <c r="R73" s="29">
        <f t="shared" si="7"/>
        <v>234</v>
      </c>
    </row>
    <row r="74" spans="1:24" x14ac:dyDescent="0.25">
      <c r="A74" s="5" t="s">
        <v>217</v>
      </c>
      <c r="B74" s="3" t="s">
        <v>214</v>
      </c>
      <c r="C74" s="1" t="s">
        <v>131</v>
      </c>
      <c r="D74" s="1" t="s">
        <v>19</v>
      </c>
      <c r="E74" s="1">
        <v>25</v>
      </c>
      <c r="F74" s="1" t="s">
        <v>88</v>
      </c>
      <c r="G74" s="1" t="s">
        <v>89</v>
      </c>
      <c r="H74" s="1" t="s">
        <v>49</v>
      </c>
      <c r="I74" s="1" t="s">
        <v>50</v>
      </c>
      <c r="J74" s="1">
        <v>2</v>
      </c>
      <c r="K74" s="27">
        <v>120</v>
      </c>
      <c r="L74" s="27">
        <v>0</v>
      </c>
      <c r="M74" s="1" t="s">
        <v>93</v>
      </c>
      <c r="N74" s="1" t="s">
        <v>25</v>
      </c>
      <c r="O74" t="str">
        <f t="shared" si="4"/>
        <v>May</v>
      </c>
      <c r="P74" t="str">
        <f t="shared" si="5"/>
        <v>2026</v>
      </c>
      <c r="Q74" s="25">
        <f t="shared" si="6"/>
        <v>170</v>
      </c>
      <c r="R74" s="29">
        <f t="shared" si="7"/>
        <v>340</v>
      </c>
    </row>
    <row r="75" spans="1:24" x14ac:dyDescent="0.25">
      <c r="A75" s="5" t="s">
        <v>218</v>
      </c>
      <c r="B75" s="3" t="s">
        <v>219</v>
      </c>
      <c r="C75" s="1" t="s">
        <v>28</v>
      </c>
      <c r="D75" s="1" t="s">
        <v>36</v>
      </c>
      <c r="E75" s="1">
        <v>44</v>
      </c>
      <c r="F75" s="1" t="s">
        <v>37</v>
      </c>
      <c r="G75" s="1" t="s">
        <v>38</v>
      </c>
      <c r="H75" s="1" t="s">
        <v>68</v>
      </c>
      <c r="I75" s="1" t="s">
        <v>69</v>
      </c>
      <c r="J75" s="1">
        <v>6</v>
      </c>
      <c r="K75" s="27">
        <v>2</v>
      </c>
      <c r="L75" s="27">
        <v>0.1</v>
      </c>
      <c r="M75" s="1" t="s">
        <v>24</v>
      </c>
      <c r="N75" s="1" t="s">
        <v>25</v>
      </c>
      <c r="O75" t="str">
        <f t="shared" si="4"/>
        <v>Jan</v>
      </c>
      <c r="P75" t="str">
        <f t="shared" si="5"/>
        <v>2026</v>
      </c>
      <c r="Q75" s="25">
        <f t="shared" si="6"/>
        <v>52</v>
      </c>
      <c r="R75" s="29">
        <f t="shared" si="7"/>
        <v>280.8</v>
      </c>
    </row>
    <row r="76" spans="1:24" x14ac:dyDescent="0.25">
      <c r="A76" s="5" t="s">
        <v>220</v>
      </c>
      <c r="B76" s="3" t="s">
        <v>221</v>
      </c>
      <c r="C76" s="1" t="s">
        <v>117</v>
      </c>
      <c r="D76" s="1" t="s">
        <v>19</v>
      </c>
      <c r="E76" s="1">
        <v>40</v>
      </c>
      <c r="F76" s="1" t="s">
        <v>43</v>
      </c>
      <c r="G76" s="1" t="s">
        <v>44</v>
      </c>
      <c r="H76" s="1" t="s">
        <v>73</v>
      </c>
      <c r="I76" s="1" t="s">
        <v>69</v>
      </c>
      <c r="J76" s="1">
        <v>4</v>
      </c>
      <c r="K76" s="27">
        <v>5</v>
      </c>
      <c r="L76" s="27">
        <v>0</v>
      </c>
      <c r="M76" s="1" t="s">
        <v>24</v>
      </c>
      <c r="N76" s="1" t="s">
        <v>32</v>
      </c>
      <c r="O76" t="str">
        <f t="shared" si="4"/>
        <v>May</v>
      </c>
      <c r="P76" t="str">
        <f t="shared" si="5"/>
        <v>2026</v>
      </c>
      <c r="Q76" s="25">
        <f t="shared" si="6"/>
        <v>55</v>
      </c>
      <c r="R76" s="29">
        <f t="shared" si="7"/>
        <v>220</v>
      </c>
    </row>
    <row r="77" spans="1:24" x14ac:dyDescent="0.25">
      <c r="A77" s="5" t="s">
        <v>222</v>
      </c>
      <c r="B77" s="3" t="s">
        <v>154</v>
      </c>
      <c r="C77" s="1" t="s">
        <v>223</v>
      </c>
      <c r="D77" s="1" t="s">
        <v>19</v>
      </c>
      <c r="E77" s="1">
        <v>36</v>
      </c>
      <c r="F77" s="1" t="s">
        <v>29</v>
      </c>
      <c r="G77" s="1" t="s">
        <v>30</v>
      </c>
      <c r="H77" s="1" t="s">
        <v>68</v>
      </c>
      <c r="I77" s="1" t="s">
        <v>69</v>
      </c>
      <c r="J77" s="1">
        <v>5</v>
      </c>
      <c r="K77" s="27">
        <v>2</v>
      </c>
      <c r="L77" s="27">
        <v>0.05</v>
      </c>
      <c r="M77" s="1" t="s">
        <v>45</v>
      </c>
      <c r="N77" s="1" t="s">
        <v>25</v>
      </c>
      <c r="O77" t="str">
        <f t="shared" si="4"/>
        <v>Jun</v>
      </c>
      <c r="P77" t="str">
        <f t="shared" si="5"/>
        <v>2026</v>
      </c>
      <c r="Q77" s="25">
        <f t="shared" si="6"/>
        <v>52</v>
      </c>
      <c r="R77" s="29">
        <f t="shared" si="7"/>
        <v>247</v>
      </c>
    </row>
    <row r="78" spans="1:24" x14ac:dyDescent="0.25">
      <c r="A78" s="5" t="s">
        <v>224</v>
      </c>
      <c r="B78" s="3" t="s">
        <v>225</v>
      </c>
      <c r="C78" s="1" t="s">
        <v>165</v>
      </c>
      <c r="D78" s="1" t="s">
        <v>19</v>
      </c>
      <c r="E78" s="1">
        <v>19</v>
      </c>
      <c r="F78" s="1" t="s">
        <v>37</v>
      </c>
      <c r="G78" s="1" t="s">
        <v>38</v>
      </c>
      <c r="H78" s="1" t="s">
        <v>79</v>
      </c>
      <c r="I78" s="1" t="s">
        <v>23</v>
      </c>
      <c r="J78" s="1">
        <v>9</v>
      </c>
      <c r="K78" s="27">
        <v>500</v>
      </c>
      <c r="L78" s="27">
        <v>0.1</v>
      </c>
      <c r="M78" s="1" t="s">
        <v>39</v>
      </c>
      <c r="N78" s="1" t="s">
        <v>32</v>
      </c>
      <c r="O78" t="str">
        <f t="shared" si="4"/>
        <v>Mar</v>
      </c>
      <c r="P78" t="str">
        <f t="shared" si="5"/>
        <v>2026</v>
      </c>
      <c r="Q78" s="25">
        <f t="shared" si="6"/>
        <v>550</v>
      </c>
      <c r="R78" s="29">
        <f t="shared" si="7"/>
        <v>4455</v>
      </c>
    </row>
    <row r="79" spans="1:24" x14ac:dyDescent="0.25">
      <c r="A79" s="5" t="s">
        <v>226</v>
      </c>
      <c r="B79" s="3" t="s">
        <v>227</v>
      </c>
      <c r="C79" s="1" t="s">
        <v>92</v>
      </c>
      <c r="D79" s="1" t="s">
        <v>36</v>
      </c>
      <c r="E79" s="1">
        <v>54</v>
      </c>
      <c r="F79" s="1" t="s">
        <v>20</v>
      </c>
      <c r="G79" s="1" t="s">
        <v>21</v>
      </c>
      <c r="H79" s="1" t="s">
        <v>49</v>
      </c>
      <c r="I79" s="1" t="s">
        <v>50</v>
      </c>
      <c r="J79" s="1">
        <v>8</v>
      </c>
      <c r="K79" s="27">
        <v>120</v>
      </c>
      <c r="L79" s="27">
        <v>0.1</v>
      </c>
      <c r="M79" s="1" t="s">
        <v>45</v>
      </c>
      <c r="N79" s="1" t="s">
        <v>55</v>
      </c>
      <c r="O79" t="str">
        <f t="shared" si="4"/>
        <v>Jun</v>
      </c>
      <c r="P79" t="str">
        <f t="shared" si="5"/>
        <v>2026</v>
      </c>
      <c r="Q79" s="25">
        <f t="shared" si="6"/>
        <v>170</v>
      </c>
      <c r="R79" s="29">
        <f t="shared" si="7"/>
        <v>1224</v>
      </c>
    </row>
    <row r="80" spans="1:24" x14ac:dyDescent="0.25">
      <c r="A80" s="5" t="s">
        <v>228</v>
      </c>
      <c r="B80" s="3" t="s">
        <v>53</v>
      </c>
      <c r="C80" s="1" t="s">
        <v>117</v>
      </c>
      <c r="D80" s="1" t="s">
        <v>36</v>
      </c>
      <c r="E80" s="1">
        <v>18</v>
      </c>
      <c r="F80" s="1" t="s">
        <v>43</v>
      </c>
      <c r="G80" s="1" t="s">
        <v>44</v>
      </c>
      <c r="H80" s="1" t="s">
        <v>22</v>
      </c>
      <c r="I80" s="1" t="s">
        <v>23</v>
      </c>
      <c r="J80" s="1">
        <v>1</v>
      </c>
      <c r="K80" s="27">
        <v>850</v>
      </c>
      <c r="L80" s="27">
        <v>0</v>
      </c>
      <c r="M80" s="1" t="s">
        <v>39</v>
      </c>
      <c r="N80" s="1" t="s">
        <v>51</v>
      </c>
      <c r="O80" t="str">
        <f t="shared" si="4"/>
        <v>Apr</v>
      </c>
      <c r="P80" t="str">
        <f t="shared" si="5"/>
        <v>2026</v>
      </c>
      <c r="Q80" s="25">
        <f t="shared" si="6"/>
        <v>900</v>
      </c>
      <c r="R80" s="29">
        <f t="shared" si="7"/>
        <v>900</v>
      </c>
    </row>
    <row r="81" spans="1:18" x14ac:dyDescent="0.25">
      <c r="A81" s="5" t="s">
        <v>229</v>
      </c>
      <c r="B81" s="3" t="s">
        <v>230</v>
      </c>
      <c r="C81" s="1" t="s">
        <v>96</v>
      </c>
      <c r="D81" s="1" t="s">
        <v>36</v>
      </c>
      <c r="E81" s="1">
        <v>48</v>
      </c>
      <c r="F81" s="1" t="s">
        <v>20</v>
      </c>
      <c r="G81" s="1" t="s">
        <v>21</v>
      </c>
      <c r="H81" s="1" t="s">
        <v>109</v>
      </c>
      <c r="I81" s="1" t="s">
        <v>50</v>
      </c>
      <c r="J81" s="1">
        <v>1</v>
      </c>
      <c r="K81" s="27">
        <v>80</v>
      </c>
      <c r="L81" s="27">
        <v>0.1</v>
      </c>
      <c r="M81" s="1" t="s">
        <v>93</v>
      </c>
      <c r="N81" s="1" t="s">
        <v>32</v>
      </c>
      <c r="O81" t="str">
        <f t="shared" si="4"/>
        <v>Jan</v>
      </c>
      <c r="P81" t="str">
        <f t="shared" si="5"/>
        <v>2026</v>
      </c>
      <c r="Q81" s="25">
        <f t="shared" si="6"/>
        <v>130</v>
      </c>
      <c r="R81" s="29">
        <f t="shared" si="7"/>
        <v>117</v>
      </c>
    </row>
    <row r="82" spans="1:18" x14ac:dyDescent="0.25">
      <c r="A82" s="5" t="s">
        <v>231</v>
      </c>
      <c r="B82" s="3" t="s">
        <v>232</v>
      </c>
      <c r="C82" s="1" t="s">
        <v>233</v>
      </c>
      <c r="D82" s="1" t="s">
        <v>19</v>
      </c>
      <c r="E82" s="1">
        <v>54</v>
      </c>
      <c r="F82" s="1" t="s">
        <v>88</v>
      </c>
      <c r="G82" s="1" t="s">
        <v>89</v>
      </c>
      <c r="H82" s="1" t="s">
        <v>118</v>
      </c>
      <c r="I82" s="1" t="s">
        <v>23</v>
      </c>
      <c r="J82" s="1">
        <v>6</v>
      </c>
      <c r="K82" s="27">
        <v>180</v>
      </c>
      <c r="L82" s="27">
        <v>0.1</v>
      </c>
      <c r="M82" s="1" t="s">
        <v>58</v>
      </c>
      <c r="N82" s="1" t="s">
        <v>32</v>
      </c>
      <c r="O82" t="str">
        <f t="shared" si="4"/>
        <v>Jun</v>
      </c>
      <c r="P82" t="str">
        <f t="shared" si="5"/>
        <v>2026</v>
      </c>
      <c r="Q82" s="25">
        <f t="shared" si="6"/>
        <v>230</v>
      </c>
      <c r="R82" s="29">
        <f t="shared" si="7"/>
        <v>1242</v>
      </c>
    </row>
    <row r="83" spans="1:18" x14ac:dyDescent="0.25">
      <c r="A83" s="5" t="s">
        <v>234</v>
      </c>
      <c r="B83" s="3" t="s">
        <v>235</v>
      </c>
      <c r="C83" s="1" t="s">
        <v>65</v>
      </c>
      <c r="D83" s="1" t="s">
        <v>19</v>
      </c>
      <c r="E83" s="1">
        <v>56</v>
      </c>
      <c r="F83" s="1" t="s">
        <v>20</v>
      </c>
      <c r="G83" s="1" t="s">
        <v>21</v>
      </c>
      <c r="H83" s="1" t="s">
        <v>118</v>
      </c>
      <c r="I83" s="1" t="s">
        <v>23</v>
      </c>
      <c r="J83" s="1">
        <v>8</v>
      </c>
      <c r="K83" s="27">
        <v>180</v>
      </c>
      <c r="L83" s="27">
        <v>0</v>
      </c>
      <c r="M83" s="1" t="s">
        <v>39</v>
      </c>
      <c r="N83" s="1" t="s">
        <v>32</v>
      </c>
      <c r="O83" t="str">
        <f t="shared" si="4"/>
        <v>May</v>
      </c>
      <c r="P83" t="str">
        <f t="shared" si="5"/>
        <v>2026</v>
      </c>
      <c r="Q83" s="25">
        <f t="shared" si="6"/>
        <v>230</v>
      </c>
      <c r="R83" s="29">
        <f t="shared" si="7"/>
        <v>1840</v>
      </c>
    </row>
    <row r="84" spans="1:18" x14ac:dyDescent="0.25">
      <c r="A84" s="5" t="s">
        <v>236</v>
      </c>
      <c r="B84" s="3" t="s">
        <v>237</v>
      </c>
      <c r="C84" s="1" t="s">
        <v>165</v>
      </c>
      <c r="D84" s="1" t="s">
        <v>36</v>
      </c>
      <c r="E84" s="1">
        <v>48</v>
      </c>
      <c r="F84" s="1" t="s">
        <v>43</v>
      </c>
      <c r="G84" s="1" t="s">
        <v>44</v>
      </c>
      <c r="H84" s="1" t="s">
        <v>109</v>
      </c>
      <c r="I84" s="1" t="s">
        <v>50</v>
      </c>
      <c r="J84" s="1">
        <v>10</v>
      </c>
      <c r="K84" s="27">
        <v>80</v>
      </c>
      <c r="L84" s="27">
        <v>0.05</v>
      </c>
      <c r="M84" s="1" t="s">
        <v>39</v>
      </c>
      <c r="N84" s="1" t="s">
        <v>55</v>
      </c>
      <c r="O84" t="str">
        <f t="shared" si="4"/>
        <v>Jan</v>
      </c>
      <c r="P84" t="str">
        <f t="shared" si="5"/>
        <v>2026</v>
      </c>
      <c r="Q84" s="25">
        <f t="shared" si="6"/>
        <v>130</v>
      </c>
      <c r="R84" s="29">
        <f t="shared" si="7"/>
        <v>1235</v>
      </c>
    </row>
    <row r="85" spans="1:18" x14ac:dyDescent="0.25">
      <c r="A85" s="5" t="s">
        <v>238</v>
      </c>
      <c r="B85" s="3" t="s">
        <v>86</v>
      </c>
      <c r="C85" s="1" t="s">
        <v>92</v>
      </c>
      <c r="D85" s="1" t="s">
        <v>19</v>
      </c>
      <c r="E85" s="1">
        <v>42</v>
      </c>
      <c r="F85" s="1" t="s">
        <v>29</v>
      </c>
      <c r="G85" s="1" t="s">
        <v>30</v>
      </c>
      <c r="H85" s="1" t="s">
        <v>62</v>
      </c>
      <c r="I85" s="1" t="s">
        <v>23</v>
      </c>
      <c r="J85" s="1">
        <v>5</v>
      </c>
      <c r="K85" s="27">
        <v>15</v>
      </c>
      <c r="L85" s="27">
        <v>0.15</v>
      </c>
      <c r="M85" s="1" t="s">
        <v>93</v>
      </c>
      <c r="N85" s="1" t="s">
        <v>32</v>
      </c>
      <c r="O85" t="str">
        <f t="shared" si="4"/>
        <v>Feb</v>
      </c>
      <c r="P85" t="str">
        <f t="shared" si="5"/>
        <v>2026</v>
      </c>
      <c r="Q85" s="25">
        <f t="shared" si="6"/>
        <v>65</v>
      </c>
      <c r="R85" s="29">
        <f t="shared" si="7"/>
        <v>276.25</v>
      </c>
    </row>
    <row r="86" spans="1:18" x14ac:dyDescent="0.25">
      <c r="A86" s="5" t="s">
        <v>239</v>
      </c>
      <c r="B86" s="3" t="s">
        <v>170</v>
      </c>
      <c r="C86" s="1" t="s">
        <v>240</v>
      </c>
      <c r="D86" s="1" t="s">
        <v>19</v>
      </c>
      <c r="E86" s="1">
        <v>28</v>
      </c>
      <c r="F86" s="1" t="s">
        <v>20</v>
      </c>
      <c r="G86" s="1" t="s">
        <v>21</v>
      </c>
      <c r="H86" s="1" t="s">
        <v>49</v>
      </c>
      <c r="I86" s="1" t="s">
        <v>50</v>
      </c>
      <c r="J86" s="1">
        <v>2</v>
      </c>
      <c r="K86" s="27">
        <v>120</v>
      </c>
      <c r="L86" s="27">
        <v>0.15</v>
      </c>
      <c r="M86" s="1" t="s">
        <v>39</v>
      </c>
      <c r="N86" s="1" t="s">
        <v>25</v>
      </c>
      <c r="O86" t="str">
        <f t="shared" si="4"/>
        <v>May</v>
      </c>
      <c r="P86" t="str">
        <f t="shared" si="5"/>
        <v>2026</v>
      </c>
      <c r="Q86" s="25">
        <f t="shared" si="6"/>
        <v>170</v>
      </c>
      <c r="R86" s="29">
        <f t="shared" si="7"/>
        <v>289</v>
      </c>
    </row>
    <row r="87" spans="1:18" x14ac:dyDescent="0.25">
      <c r="A87" s="5" t="s">
        <v>241</v>
      </c>
      <c r="B87" s="3" t="s">
        <v>242</v>
      </c>
      <c r="C87" s="1" t="s">
        <v>243</v>
      </c>
      <c r="D87" s="1" t="s">
        <v>19</v>
      </c>
      <c r="E87" s="1">
        <v>28</v>
      </c>
      <c r="F87" s="1" t="s">
        <v>37</v>
      </c>
      <c r="G87" s="1" t="s">
        <v>38</v>
      </c>
      <c r="H87" s="1" t="s">
        <v>109</v>
      </c>
      <c r="I87" s="1" t="s">
        <v>50</v>
      </c>
      <c r="J87" s="1">
        <v>8</v>
      </c>
      <c r="K87" s="27">
        <v>80</v>
      </c>
      <c r="L87" s="27">
        <v>0</v>
      </c>
      <c r="M87" s="1" t="s">
        <v>24</v>
      </c>
      <c r="N87" s="1" t="s">
        <v>25</v>
      </c>
      <c r="O87" t="str">
        <f t="shared" si="4"/>
        <v>Jan</v>
      </c>
      <c r="P87" t="str">
        <f t="shared" si="5"/>
        <v>2026</v>
      </c>
      <c r="Q87" s="25">
        <f t="shared" si="6"/>
        <v>130</v>
      </c>
      <c r="R87" s="29">
        <f t="shared" si="7"/>
        <v>1040</v>
      </c>
    </row>
    <row r="88" spans="1:18" x14ac:dyDescent="0.25">
      <c r="A88" s="5" t="s">
        <v>244</v>
      </c>
      <c r="B88" s="3" t="s">
        <v>245</v>
      </c>
      <c r="C88" s="1" t="s">
        <v>136</v>
      </c>
      <c r="D88" s="1" t="s">
        <v>36</v>
      </c>
      <c r="E88" s="1">
        <v>48</v>
      </c>
      <c r="F88" s="1" t="s">
        <v>20</v>
      </c>
      <c r="G88" s="1" t="s">
        <v>21</v>
      </c>
      <c r="H88" s="1" t="s">
        <v>73</v>
      </c>
      <c r="I88" s="1" t="s">
        <v>69</v>
      </c>
      <c r="J88" s="1">
        <v>2</v>
      </c>
      <c r="K88" s="27">
        <v>5</v>
      </c>
      <c r="L88" s="27">
        <v>0</v>
      </c>
      <c r="M88" s="1" t="s">
        <v>58</v>
      </c>
      <c r="N88" s="1" t="s">
        <v>32</v>
      </c>
      <c r="O88" t="str">
        <f t="shared" si="4"/>
        <v>Feb</v>
      </c>
      <c r="P88" t="str">
        <f t="shared" si="5"/>
        <v>2026</v>
      </c>
      <c r="Q88" s="25">
        <f t="shared" si="6"/>
        <v>55</v>
      </c>
      <c r="R88" s="29">
        <f t="shared" si="7"/>
        <v>110</v>
      </c>
    </row>
    <row r="89" spans="1:18" x14ac:dyDescent="0.25">
      <c r="A89" s="5" t="s">
        <v>246</v>
      </c>
      <c r="B89" s="3" t="s">
        <v>77</v>
      </c>
      <c r="C89" s="1" t="s">
        <v>145</v>
      </c>
      <c r="D89" s="1" t="s">
        <v>36</v>
      </c>
      <c r="E89" s="1">
        <v>24</v>
      </c>
      <c r="F89" s="1" t="s">
        <v>43</v>
      </c>
      <c r="G89" s="1" t="s">
        <v>44</v>
      </c>
      <c r="H89" s="1" t="s">
        <v>68</v>
      </c>
      <c r="I89" s="1" t="s">
        <v>69</v>
      </c>
      <c r="J89" s="1">
        <v>9</v>
      </c>
      <c r="K89" s="27">
        <v>2</v>
      </c>
      <c r="L89" s="27">
        <v>0.15</v>
      </c>
      <c r="M89" s="1" t="s">
        <v>93</v>
      </c>
      <c r="N89" s="1" t="s">
        <v>25</v>
      </c>
      <c r="O89" t="str">
        <f t="shared" si="4"/>
        <v>Mar</v>
      </c>
      <c r="P89" t="str">
        <f t="shared" si="5"/>
        <v>2026</v>
      </c>
      <c r="Q89" s="25">
        <f t="shared" si="6"/>
        <v>52</v>
      </c>
      <c r="R89" s="29">
        <f t="shared" si="7"/>
        <v>397.8</v>
      </c>
    </row>
    <row r="90" spans="1:18" x14ac:dyDescent="0.25">
      <c r="A90" s="5" t="s">
        <v>247</v>
      </c>
      <c r="B90" s="3" t="s">
        <v>248</v>
      </c>
      <c r="C90" s="1" t="s">
        <v>188</v>
      </c>
      <c r="D90" s="1" t="s">
        <v>36</v>
      </c>
      <c r="E90" s="1">
        <v>21</v>
      </c>
      <c r="F90" s="1" t="s">
        <v>29</v>
      </c>
      <c r="G90" s="1" t="s">
        <v>30</v>
      </c>
      <c r="H90" s="1" t="s">
        <v>22</v>
      </c>
      <c r="I90" s="1" t="s">
        <v>23</v>
      </c>
      <c r="J90" s="1">
        <v>3</v>
      </c>
      <c r="K90" s="27">
        <v>850</v>
      </c>
      <c r="L90" s="27">
        <v>0.05</v>
      </c>
      <c r="M90" s="1" t="s">
        <v>31</v>
      </c>
      <c r="N90" s="1" t="s">
        <v>55</v>
      </c>
      <c r="O90" t="str">
        <f t="shared" si="4"/>
        <v>Mar</v>
      </c>
      <c r="P90" t="str">
        <f t="shared" si="5"/>
        <v>2026</v>
      </c>
      <c r="Q90" s="25">
        <f t="shared" si="6"/>
        <v>900</v>
      </c>
      <c r="R90" s="29">
        <f t="shared" si="7"/>
        <v>2565</v>
      </c>
    </row>
    <row r="91" spans="1:18" x14ac:dyDescent="0.25">
      <c r="A91" s="5" t="s">
        <v>249</v>
      </c>
      <c r="B91" s="3" t="s">
        <v>250</v>
      </c>
      <c r="C91" s="1" t="s">
        <v>251</v>
      </c>
      <c r="D91" s="1" t="s">
        <v>36</v>
      </c>
      <c r="E91" s="1">
        <v>42</v>
      </c>
      <c r="F91" s="1" t="s">
        <v>29</v>
      </c>
      <c r="G91" s="1" t="s">
        <v>30</v>
      </c>
      <c r="H91" s="1" t="s">
        <v>62</v>
      </c>
      <c r="I91" s="1" t="s">
        <v>23</v>
      </c>
      <c r="J91" s="1">
        <v>3</v>
      </c>
      <c r="K91" s="27">
        <v>15</v>
      </c>
      <c r="L91" s="27">
        <v>0.1</v>
      </c>
      <c r="M91" s="1" t="s">
        <v>93</v>
      </c>
      <c r="N91" s="1" t="s">
        <v>32</v>
      </c>
      <c r="O91" t="str">
        <f t="shared" si="4"/>
        <v>Mar</v>
      </c>
      <c r="P91" t="str">
        <f t="shared" si="5"/>
        <v>2026</v>
      </c>
      <c r="Q91" s="25">
        <f t="shared" si="6"/>
        <v>65</v>
      </c>
      <c r="R91" s="29">
        <f t="shared" si="7"/>
        <v>175.5</v>
      </c>
    </row>
    <row r="92" spans="1:18" x14ac:dyDescent="0.25">
      <c r="A92" s="5" t="s">
        <v>252</v>
      </c>
      <c r="B92" s="3" t="s">
        <v>253</v>
      </c>
      <c r="C92" s="1" t="s">
        <v>99</v>
      </c>
      <c r="D92" s="1" t="s">
        <v>19</v>
      </c>
      <c r="E92" s="1">
        <v>26</v>
      </c>
      <c r="F92" s="1" t="s">
        <v>29</v>
      </c>
      <c r="G92" s="1" t="s">
        <v>30</v>
      </c>
      <c r="H92" s="1" t="s">
        <v>22</v>
      </c>
      <c r="I92" s="1" t="s">
        <v>23</v>
      </c>
      <c r="J92" s="1">
        <v>7</v>
      </c>
      <c r="K92" s="27">
        <v>850</v>
      </c>
      <c r="L92" s="27">
        <v>0.1</v>
      </c>
      <c r="M92" s="1" t="s">
        <v>93</v>
      </c>
      <c r="N92" s="1" t="s">
        <v>51</v>
      </c>
      <c r="O92" t="str">
        <f t="shared" si="4"/>
        <v>May</v>
      </c>
      <c r="P92" t="str">
        <f t="shared" si="5"/>
        <v>2026</v>
      </c>
      <c r="Q92" s="25">
        <f t="shared" si="6"/>
        <v>900</v>
      </c>
      <c r="R92" s="29">
        <f t="shared" si="7"/>
        <v>5670</v>
      </c>
    </row>
    <row r="93" spans="1:18" x14ac:dyDescent="0.25">
      <c r="A93" s="5" t="s">
        <v>254</v>
      </c>
      <c r="B93" s="3" t="s">
        <v>255</v>
      </c>
      <c r="C93" s="1" t="s">
        <v>256</v>
      </c>
      <c r="D93" s="1" t="s">
        <v>36</v>
      </c>
      <c r="E93" s="1">
        <v>54</v>
      </c>
      <c r="F93" s="1" t="s">
        <v>20</v>
      </c>
      <c r="G93" s="1" t="s">
        <v>21</v>
      </c>
      <c r="H93" s="1" t="s">
        <v>49</v>
      </c>
      <c r="I93" s="1" t="s">
        <v>50</v>
      </c>
      <c r="J93" s="1">
        <v>2</v>
      </c>
      <c r="K93" s="27">
        <v>120</v>
      </c>
      <c r="L93" s="27">
        <v>0.05</v>
      </c>
      <c r="M93" s="1" t="s">
        <v>93</v>
      </c>
      <c r="N93" s="1" t="s">
        <v>32</v>
      </c>
      <c r="O93" t="str">
        <f t="shared" si="4"/>
        <v>Jan</v>
      </c>
      <c r="P93" t="str">
        <f t="shared" si="5"/>
        <v>2026</v>
      </c>
      <c r="Q93" s="25">
        <f t="shared" si="6"/>
        <v>170</v>
      </c>
      <c r="R93" s="29">
        <f t="shared" si="7"/>
        <v>323</v>
      </c>
    </row>
    <row r="94" spans="1:18" x14ac:dyDescent="0.25">
      <c r="A94" s="5" t="s">
        <v>257</v>
      </c>
      <c r="B94" s="3" t="s">
        <v>107</v>
      </c>
      <c r="C94" s="1" t="s">
        <v>258</v>
      </c>
      <c r="D94" s="1" t="s">
        <v>36</v>
      </c>
      <c r="E94" s="1">
        <v>57</v>
      </c>
      <c r="F94" s="1" t="s">
        <v>88</v>
      </c>
      <c r="G94" s="1" t="s">
        <v>89</v>
      </c>
      <c r="H94" s="1" t="s">
        <v>68</v>
      </c>
      <c r="I94" s="1" t="s">
        <v>69</v>
      </c>
      <c r="J94" s="1">
        <v>6</v>
      </c>
      <c r="K94" s="27">
        <v>2</v>
      </c>
      <c r="L94" s="27">
        <v>0.15</v>
      </c>
      <c r="M94" s="1" t="s">
        <v>39</v>
      </c>
      <c r="N94" s="1" t="s">
        <v>32</v>
      </c>
      <c r="O94" t="str">
        <f t="shared" si="4"/>
        <v>Feb</v>
      </c>
      <c r="P94" t="str">
        <f t="shared" si="5"/>
        <v>2026</v>
      </c>
      <c r="Q94" s="25">
        <f t="shared" si="6"/>
        <v>52</v>
      </c>
      <c r="R94" s="29">
        <f t="shared" si="7"/>
        <v>265.2</v>
      </c>
    </row>
    <row r="95" spans="1:18" x14ac:dyDescent="0.25">
      <c r="A95" s="5" t="s">
        <v>259</v>
      </c>
      <c r="B95" s="3" t="s">
        <v>260</v>
      </c>
      <c r="C95" s="1" t="s">
        <v>35</v>
      </c>
      <c r="D95" s="1" t="s">
        <v>19</v>
      </c>
      <c r="E95" s="1">
        <v>34</v>
      </c>
      <c r="F95" s="1" t="s">
        <v>29</v>
      </c>
      <c r="G95" s="1" t="s">
        <v>30</v>
      </c>
      <c r="H95" s="1" t="s">
        <v>118</v>
      </c>
      <c r="I95" s="1" t="s">
        <v>23</v>
      </c>
      <c r="J95" s="1">
        <v>6</v>
      </c>
      <c r="K95" s="27">
        <v>180</v>
      </c>
      <c r="L95" s="27">
        <v>0.15</v>
      </c>
      <c r="M95" s="1" t="s">
        <v>58</v>
      </c>
      <c r="N95" s="1" t="s">
        <v>51</v>
      </c>
      <c r="O95" t="str">
        <f t="shared" si="4"/>
        <v>Apr</v>
      </c>
      <c r="P95" t="str">
        <f t="shared" si="5"/>
        <v>2026</v>
      </c>
      <c r="Q95" s="25">
        <f t="shared" si="6"/>
        <v>230</v>
      </c>
      <c r="R95" s="29">
        <f t="shared" si="7"/>
        <v>1173</v>
      </c>
    </row>
    <row r="96" spans="1:18" x14ac:dyDescent="0.25">
      <c r="A96" s="5" t="s">
        <v>261</v>
      </c>
      <c r="B96" s="3" t="s">
        <v>216</v>
      </c>
      <c r="C96" s="1" t="s">
        <v>92</v>
      </c>
      <c r="D96" s="1" t="s">
        <v>19</v>
      </c>
      <c r="E96" s="1">
        <v>49</v>
      </c>
      <c r="F96" s="1" t="s">
        <v>37</v>
      </c>
      <c r="G96" s="1" t="s">
        <v>38</v>
      </c>
      <c r="H96" s="1" t="s">
        <v>118</v>
      </c>
      <c r="I96" s="1" t="s">
        <v>23</v>
      </c>
      <c r="J96" s="1">
        <v>9</v>
      </c>
      <c r="K96" s="27">
        <v>180</v>
      </c>
      <c r="L96" s="27">
        <v>0.15</v>
      </c>
      <c r="M96" s="1" t="s">
        <v>31</v>
      </c>
      <c r="N96" s="1" t="s">
        <v>55</v>
      </c>
      <c r="O96" t="str">
        <f t="shared" si="4"/>
        <v>Jun</v>
      </c>
      <c r="P96" t="str">
        <f t="shared" si="5"/>
        <v>2026</v>
      </c>
      <c r="Q96" s="25">
        <f t="shared" si="6"/>
        <v>230</v>
      </c>
      <c r="R96" s="29">
        <f t="shared" si="7"/>
        <v>1759.5</v>
      </c>
    </row>
    <row r="97" spans="1:18" x14ac:dyDescent="0.25">
      <c r="A97" s="5" t="s">
        <v>262</v>
      </c>
      <c r="B97" s="3" t="s">
        <v>263</v>
      </c>
      <c r="C97" s="1" t="s">
        <v>126</v>
      </c>
      <c r="D97" s="1" t="s">
        <v>19</v>
      </c>
      <c r="E97" s="1">
        <v>59</v>
      </c>
      <c r="F97" s="1" t="s">
        <v>37</v>
      </c>
      <c r="G97" s="1" t="s">
        <v>38</v>
      </c>
      <c r="H97" s="1" t="s">
        <v>73</v>
      </c>
      <c r="I97" s="1" t="s">
        <v>69</v>
      </c>
      <c r="J97" s="1">
        <v>5</v>
      </c>
      <c r="K97" s="27">
        <v>5</v>
      </c>
      <c r="L97" s="27">
        <v>0.05</v>
      </c>
      <c r="M97" s="1" t="s">
        <v>45</v>
      </c>
      <c r="N97" s="1" t="s">
        <v>25</v>
      </c>
      <c r="O97" t="str">
        <f t="shared" si="4"/>
        <v>Jun</v>
      </c>
      <c r="P97" t="str">
        <f t="shared" si="5"/>
        <v>2026</v>
      </c>
      <c r="Q97" s="25">
        <f t="shared" si="6"/>
        <v>55</v>
      </c>
      <c r="R97" s="29">
        <f t="shared" si="7"/>
        <v>261.25</v>
      </c>
    </row>
    <row r="98" spans="1:18" x14ac:dyDescent="0.25">
      <c r="A98" s="5" t="s">
        <v>264</v>
      </c>
      <c r="B98" s="3" t="s">
        <v>265</v>
      </c>
      <c r="C98" s="1" t="s">
        <v>266</v>
      </c>
      <c r="D98" s="1" t="s">
        <v>19</v>
      </c>
      <c r="E98" s="1">
        <v>39</v>
      </c>
      <c r="F98" s="1" t="s">
        <v>43</v>
      </c>
      <c r="G98" s="1" t="s">
        <v>44</v>
      </c>
      <c r="H98" s="1" t="s">
        <v>22</v>
      </c>
      <c r="I98" s="1" t="s">
        <v>23</v>
      </c>
      <c r="J98" s="1">
        <v>3</v>
      </c>
      <c r="K98" s="27">
        <v>850</v>
      </c>
      <c r="L98" s="27">
        <v>0</v>
      </c>
      <c r="M98" s="1" t="s">
        <v>58</v>
      </c>
      <c r="N98" s="1" t="s">
        <v>55</v>
      </c>
      <c r="O98" t="str">
        <f t="shared" si="4"/>
        <v>Jan</v>
      </c>
      <c r="P98" t="str">
        <f t="shared" si="5"/>
        <v>2026</v>
      </c>
      <c r="Q98" s="25">
        <f t="shared" si="6"/>
        <v>900</v>
      </c>
      <c r="R98" s="29">
        <f t="shared" si="7"/>
        <v>2700</v>
      </c>
    </row>
    <row r="99" spans="1:18" x14ac:dyDescent="0.25">
      <c r="A99" s="5" t="s">
        <v>267</v>
      </c>
      <c r="B99" s="3" t="s">
        <v>81</v>
      </c>
      <c r="C99" s="1" t="s">
        <v>268</v>
      </c>
      <c r="D99" s="1" t="s">
        <v>19</v>
      </c>
      <c r="E99" s="1">
        <v>22</v>
      </c>
      <c r="F99" s="1" t="s">
        <v>20</v>
      </c>
      <c r="G99" s="1" t="s">
        <v>21</v>
      </c>
      <c r="H99" s="1" t="s">
        <v>68</v>
      </c>
      <c r="I99" s="1" t="s">
        <v>69</v>
      </c>
      <c r="J99" s="1">
        <v>10</v>
      </c>
      <c r="K99" s="27">
        <v>2</v>
      </c>
      <c r="L99" s="27">
        <v>0.1</v>
      </c>
      <c r="M99" s="1" t="s">
        <v>31</v>
      </c>
      <c r="N99" s="1" t="s">
        <v>51</v>
      </c>
      <c r="O99" t="str">
        <f t="shared" si="4"/>
        <v>Jan</v>
      </c>
      <c r="P99" t="str">
        <f t="shared" si="5"/>
        <v>2026</v>
      </c>
      <c r="Q99" s="25">
        <f t="shared" si="6"/>
        <v>52</v>
      </c>
      <c r="R99" s="29">
        <f t="shared" si="7"/>
        <v>468</v>
      </c>
    </row>
    <row r="100" spans="1:18" x14ac:dyDescent="0.25">
      <c r="A100" s="5" t="s">
        <v>269</v>
      </c>
      <c r="B100" s="3" t="s">
        <v>221</v>
      </c>
      <c r="C100" s="1" t="s">
        <v>48</v>
      </c>
      <c r="D100" s="1" t="s">
        <v>36</v>
      </c>
      <c r="E100" s="1">
        <v>54</v>
      </c>
      <c r="F100" s="1" t="s">
        <v>37</v>
      </c>
      <c r="G100" s="1" t="s">
        <v>38</v>
      </c>
      <c r="H100" s="1" t="s">
        <v>62</v>
      </c>
      <c r="I100" s="1" t="s">
        <v>23</v>
      </c>
      <c r="J100" s="1">
        <v>7</v>
      </c>
      <c r="K100" s="27">
        <v>15</v>
      </c>
      <c r="L100" s="27">
        <v>0</v>
      </c>
      <c r="M100" s="1" t="s">
        <v>31</v>
      </c>
      <c r="N100" s="1" t="s">
        <v>51</v>
      </c>
      <c r="O100" t="str">
        <f t="shared" si="4"/>
        <v>May</v>
      </c>
      <c r="P100" t="str">
        <f t="shared" si="5"/>
        <v>2026</v>
      </c>
      <c r="Q100" s="25">
        <f t="shared" si="6"/>
        <v>65</v>
      </c>
      <c r="R100" s="29">
        <f t="shared" si="7"/>
        <v>455</v>
      </c>
    </row>
    <row r="101" spans="1:18" x14ac:dyDescent="0.25">
      <c r="A101" s="5" t="s">
        <v>270</v>
      </c>
      <c r="B101" s="3" t="s">
        <v>271</v>
      </c>
      <c r="C101" s="1" t="s">
        <v>182</v>
      </c>
      <c r="D101" s="1" t="s">
        <v>19</v>
      </c>
      <c r="E101" s="1">
        <v>43</v>
      </c>
      <c r="F101" s="1" t="s">
        <v>20</v>
      </c>
      <c r="G101" s="1" t="s">
        <v>21</v>
      </c>
      <c r="H101" s="1" t="s">
        <v>49</v>
      </c>
      <c r="I101" s="1" t="s">
        <v>50</v>
      </c>
      <c r="J101" s="1">
        <v>9</v>
      </c>
      <c r="K101" s="27">
        <v>120</v>
      </c>
      <c r="L101" s="27">
        <v>0</v>
      </c>
      <c r="M101" s="1" t="s">
        <v>45</v>
      </c>
      <c r="N101" s="1" t="s">
        <v>32</v>
      </c>
      <c r="O101" t="str">
        <f t="shared" si="4"/>
        <v>Mar</v>
      </c>
      <c r="P101" t="str">
        <f t="shared" si="5"/>
        <v>2026</v>
      </c>
      <c r="Q101" s="25">
        <f t="shared" si="6"/>
        <v>170</v>
      </c>
      <c r="R101" s="29">
        <f t="shared" si="7"/>
        <v>1530</v>
      </c>
    </row>
    <row r="102" spans="1:18" x14ac:dyDescent="0.25">
      <c r="A102" s="5" t="s">
        <v>272</v>
      </c>
      <c r="B102" s="3" t="s">
        <v>148</v>
      </c>
      <c r="C102" s="1" t="s">
        <v>155</v>
      </c>
      <c r="D102" s="1" t="s">
        <v>36</v>
      </c>
      <c r="E102" s="1">
        <v>33</v>
      </c>
      <c r="F102" s="1" t="s">
        <v>37</v>
      </c>
      <c r="G102" s="1" t="s">
        <v>38</v>
      </c>
      <c r="H102" s="1" t="s">
        <v>68</v>
      </c>
      <c r="I102" s="1" t="s">
        <v>69</v>
      </c>
      <c r="J102" s="1">
        <v>5</v>
      </c>
      <c r="K102" s="27">
        <v>2</v>
      </c>
      <c r="L102" s="27">
        <v>0.1</v>
      </c>
      <c r="M102" s="1" t="s">
        <v>39</v>
      </c>
      <c r="N102" s="1" t="s">
        <v>55</v>
      </c>
      <c r="O102" t="str">
        <f t="shared" si="4"/>
        <v>Jun</v>
      </c>
      <c r="P102" t="str">
        <f t="shared" si="5"/>
        <v>2026</v>
      </c>
      <c r="Q102" s="25">
        <f t="shared" si="6"/>
        <v>52</v>
      </c>
      <c r="R102" s="29">
        <f t="shared" si="7"/>
        <v>234</v>
      </c>
    </row>
    <row r="103" spans="1:18" x14ac:dyDescent="0.25">
      <c r="A103" s="5" t="s">
        <v>273</v>
      </c>
      <c r="B103" s="3" t="s">
        <v>53</v>
      </c>
      <c r="C103" s="1" t="s">
        <v>54</v>
      </c>
      <c r="D103" s="1" t="s">
        <v>19</v>
      </c>
      <c r="E103" s="1">
        <v>20</v>
      </c>
      <c r="F103" s="1" t="s">
        <v>37</v>
      </c>
      <c r="G103" s="1" t="s">
        <v>38</v>
      </c>
      <c r="H103" s="1" t="s">
        <v>109</v>
      </c>
      <c r="I103" s="1" t="s">
        <v>50</v>
      </c>
      <c r="J103" s="1">
        <v>8</v>
      </c>
      <c r="K103" s="27">
        <v>80</v>
      </c>
      <c r="L103" s="27">
        <v>0.05</v>
      </c>
      <c r="M103" s="1" t="s">
        <v>39</v>
      </c>
      <c r="N103" s="1" t="s">
        <v>55</v>
      </c>
      <c r="O103" t="str">
        <f t="shared" si="4"/>
        <v>Apr</v>
      </c>
      <c r="P103" t="str">
        <f t="shared" si="5"/>
        <v>2026</v>
      </c>
      <c r="Q103" s="25">
        <f t="shared" si="6"/>
        <v>130</v>
      </c>
      <c r="R103" s="29">
        <f t="shared" si="7"/>
        <v>988</v>
      </c>
    </row>
    <row r="104" spans="1:18" x14ac:dyDescent="0.25">
      <c r="A104" s="5" t="s">
        <v>274</v>
      </c>
      <c r="B104" s="3" t="s">
        <v>275</v>
      </c>
      <c r="C104" s="1" t="s">
        <v>152</v>
      </c>
      <c r="D104" s="1" t="s">
        <v>36</v>
      </c>
      <c r="E104" s="1">
        <v>41</v>
      </c>
      <c r="F104" s="1" t="s">
        <v>29</v>
      </c>
      <c r="G104" s="1" t="s">
        <v>30</v>
      </c>
      <c r="H104" s="1" t="s">
        <v>62</v>
      </c>
      <c r="I104" s="1" t="s">
        <v>23</v>
      </c>
      <c r="J104" s="1">
        <v>8</v>
      </c>
      <c r="K104" s="27">
        <v>15</v>
      </c>
      <c r="L104" s="27">
        <v>0.05</v>
      </c>
      <c r="M104" s="1" t="s">
        <v>39</v>
      </c>
      <c r="N104" s="1" t="s">
        <v>32</v>
      </c>
      <c r="O104" t="str">
        <f t="shared" si="4"/>
        <v>Apr</v>
      </c>
      <c r="P104" t="str">
        <f t="shared" si="5"/>
        <v>2026</v>
      </c>
      <c r="Q104" s="25">
        <f t="shared" si="6"/>
        <v>65</v>
      </c>
      <c r="R104" s="29">
        <f t="shared" si="7"/>
        <v>494</v>
      </c>
    </row>
    <row r="105" spans="1:18" x14ac:dyDescent="0.25">
      <c r="A105" s="5" t="s">
        <v>276</v>
      </c>
      <c r="B105" s="3" t="s">
        <v>277</v>
      </c>
      <c r="C105" s="1" t="s">
        <v>233</v>
      </c>
      <c r="D105" s="1" t="s">
        <v>36</v>
      </c>
      <c r="E105" s="1">
        <v>28</v>
      </c>
      <c r="F105" s="1" t="s">
        <v>29</v>
      </c>
      <c r="G105" s="1" t="s">
        <v>30</v>
      </c>
      <c r="H105" s="1" t="s">
        <v>62</v>
      </c>
      <c r="I105" s="1" t="s">
        <v>23</v>
      </c>
      <c r="J105" s="1">
        <v>1</v>
      </c>
      <c r="K105" s="27">
        <v>15</v>
      </c>
      <c r="L105" s="27">
        <v>0</v>
      </c>
      <c r="M105" s="1" t="s">
        <v>39</v>
      </c>
      <c r="N105" s="1" t="s">
        <v>25</v>
      </c>
      <c r="O105" t="str">
        <f t="shared" si="4"/>
        <v>Apr</v>
      </c>
      <c r="P105" t="str">
        <f t="shared" si="5"/>
        <v>2026</v>
      </c>
      <c r="Q105" s="25">
        <f t="shared" si="6"/>
        <v>65</v>
      </c>
      <c r="R105" s="29">
        <f t="shared" si="7"/>
        <v>65</v>
      </c>
    </row>
    <row r="106" spans="1:18" x14ac:dyDescent="0.25">
      <c r="A106" s="5" t="s">
        <v>278</v>
      </c>
      <c r="B106" s="3" t="s">
        <v>279</v>
      </c>
      <c r="C106" s="1" t="s">
        <v>266</v>
      </c>
      <c r="D106" s="1" t="s">
        <v>36</v>
      </c>
      <c r="E106" s="1">
        <v>35</v>
      </c>
      <c r="F106" s="1" t="s">
        <v>29</v>
      </c>
      <c r="G106" s="1" t="s">
        <v>30</v>
      </c>
      <c r="H106" s="1" t="s">
        <v>22</v>
      </c>
      <c r="I106" s="1" t="s">
        <v>23</v>
      </c>
      <c r="J106" s="1">
        <v>6</v>
      </c>
      <c r="K106" s="27">
        <v>850</v>
      </c>
      <c r="L106" s="27">
        <v>0.1</v>
      </c>
      <c r="M106" s="1" t="s">
        <v>24</v>
      </c>
      <c r="N106" s="1" t="s">
        <v>25</v>
      </c>
      <c r="O106" t="str">
        <f t="shared" si="4"/>
        <v>Apr</v>
      </c>
      <c r="P106" t="str">
        <f t="shared" si="5"/>
        <v>2026</v>
      </c>
      <c r="Q106" s="25">
        <f t="shared" si="6"/>
        <v>900</v>
      </c>
      <c r="R106" s="29">
        <f t="shared" si="7"/>
        <v>4860</v>
      </c>
    </row>
    <row r="107" spans="1:18" x14ac:dyDescent="0.25">
      <c r="A107" s="5" t="s">
        <v>280</v>
      </c>
      <c r="B107" s="3" t="s">
        <v>271</v>
      </c>
      <c r="C107" s="1" t="s">
        <v>223</v>
      </c>
      <c r="D107" s="1" t="s">
        <v>36</v>
      </c>
      <c r="E107" s="1">
        <v>24</v>
      </c>
      <c r="F107" s="1" t="s">
        <v>20</v>
      </c>
      <c r="G107" s="1" t="s">
        <v>21</v>
      </c>
      <c r="H107" s="1" t="s">
        <v>118</v>
      </c>
      <c r="I107" s="1" t="s">
        <v>23</v>
      </c>
      <c r="J107" s="1">
        <v>1</v>
      </c>
      <c r="K107" s="27">
        <v>180</v>
      </c>
      <c r="L107" s="27">
        <v>0.15</v>
      </c>
      <c r="M107" s="1" t="s">
        <v>39</v>
      </c>
      <c r="N107" s="1" t="s">
        <v>25</v>
      </c>
      <c r="O107" t="str">
        <f t="shared" si="4"/>
        <v>Mar</v>
      </c>
      <c r="P107" t="str">
        <f t="shared" si="5"/>
        <v>2026</v>
      </c>
      <c r="Q107" s="25">
        <f t="shared" si="6"/>
        <v>230</v>
      </c>
      <c r="R107" s="29">
        <f t="shared" si="7"/>
        <v>195.5</v>
      </c>
    </row>
    <row r="108" spans="1:18" x14ac:dyDescent="0.25">
      <c r="A108" s="5" t="s">
        <v>281</v>
      </c>
      <c r="B108" s="3" t="s">
        <v>282</v>
      </c>
      <c r="C108" s="1" t="s">
        <v>205</v>
      </c>
      <c r="D108" s="1" t="s">
        <v>36</v>
      </c>
      <c r="E108" s="1">
        <v>45</v>
      </c>
      <c r="F108" s="1" t="s">
        <v>88</v>
      </c>
      <c r="G108" s="1" t="s">
        <v>89</v>
      </c>
      <c r="H108" s="1" t="s">
        <v>49</v>
      </c>
      <c r="I108" s="1" t="s">
        <v>50</v>
      </c>
      <c r="J108" s="1">
        <v>8</v>
      </c>
      <c r="K108" s="27">
        <v>120</v>
      </c>
      <c r="L108" s="27">
        <v>0.05</v>
      </c>
      <c r="M108" s="1" t="s">
        <v>31</v>
      </c>
      <c r="N108" s="1" t="s">
        <v>32</v>
      </c>
      <c r="O108" t="str">
        <f t="shared" si="4"/>
        <v>Mar</v>
      </c>
      <c r="P108" t="str">
        <f t="shared" si="5"/>
        <v>2026</v>
      </c>
      <c r="Q108" s="25">
        <f t="shared" si="6"/>
        <v>170</v>
      </c>
      <c r="R108" s="29">
        <f t="shared" si="7"/>
        <v>1292</v>
      </c>
    </row>
    <row r="109" spans="1:18" x14ac:dyDescent="0.25">
      <c r="A109" s="5" t="s">
        <v>283</v>
      </c>
      <c r="B109" s="3" t="s">
        <v>284</v>
      </c>
      <c r="C109" s="1" t="s">
        <v>251</v>
      </c>
      <c r="D109" s="1" t="s">
        <v>36</v>
      </c>
      <c r="E109" s="1">
        <v>23</v>
      </c>
      <c r="F109" s="1" t="s">
        <v>37</v>
      </c>
      <c r="G109" s="1" t="s">
        <v>38</v>
      </c>
      <c r="H109" s="1" t="s">
        <v>73</v>
      </c>
      <c r="I109" s="1" t="s">
        <v>69</v>
      </c>
      <c r="J109" s="1">
        <v>1</v>
      </c>
      <c r="K109" s="27">
        <v>5</v>
      </c>
      <c r="L109" s="27">
        <v>0.1</v>
      </c>
      <c r="M109" s="1" t="s">
        <v>31</v>
      </c>
      <c r="N109" s="1" t="s">
        <v>51</v>
      </c>
      <c r="O109" t="str">
        <f t="shared" si="4"/>
        <v>Feb</v>
      </c>
      <c r="P109" t="str">
        <f t="shared" si="5"/>
        <v>2026</v>
      </c>
      <c r="Q109" s="25">
        <f t="shared" si="6"/>
        <v>55</v>
      </c>
      <c r="R109" s="29">
        <f t="shared" si="7"/>
        <v>49.5</v>
      </c>
    </row>
    <row r="110" spans="1:18" x14ac:dyDescent="0.25">
      <c r="A110" s="5" t="s">
        <v>285</v>
      </c>
      <c r="B110" s="3" t="s">
        <v>286</v>
      </c>
      <c r="C110" s="1" t="s">
        <v>149</v>
      </c>
      <c r="D110" s="1" t="s">
        <v>19</v>
      </c>
      <c r="E110" s="1">
        <v>33</v>
      </c>
      <c r="F110" s="1" t="s">
        <v>88</v>
      </c>
      <c r="G110" s="1" t="s">
        <v>89</v>
      </c>
      <c r="H110" s="1" t="s">
        <v>62</v>
      </c>
      <c r="I110" s="1" t="s">
        <v>23</v>
      </c>
      <c r="J110" s="1">
        <v>1</v>
      </c>
      <c r="K110" s="27">
        <v>15</v>
      </c>
      <c r="L110" s="27">
        <v>0</v>
      </c>
      <c r="M110" s="1" t="s">
        <v>39</v>
      </c>
      <c r="N110" s="1" t="s">
        <v>32</v>
      </c>
      <c r="O110" t="str">
        <f t="shared" si="4"/>
        <v>May</v>
      </c>
      <c r="P110" t="str">
        <f t="shared" si="5"/>
        <v>2026</v>
      </c>
      <c r="Q110" s="25">
        <f t="shared" si="6"/>
        <v>65</v>
      </c>
      <c r="R110" s="29">
        <f t="shared" si="7"/>
        <v>65</v>
      </c>
    </row>
    <row r="111" spans="1:18" x14ac:dyDescent="0.25">
      <c r="A111" s="5" t="s">
        <v>287</v>
      </c>
      <c r="B111" s="3" t="s">
        <v>288</v>
      </c>
      <c r="C111" s="1" t="s">
        <v>289</v>
      </c>
      <c r="D111" s="1" t="s">
        <v>19</v>
      </c>
      <c r="E111" s="1">
        <v>33</v>
      </c>
      <c r="F111" s="1" t="s">
        <v>29</v>
      </c>
      <c r="G111" s="1" t="s">
        <v>30</v>
      </c>
      <c r="H111" s="1" t="s">
        <v>22</v>
      </c>
      <c r="I111" s="1" t="s">
        <v>23</v>
      </c>
      <c r="J111" s="1">
        <v>3</v>
      </c>
      <c r="K111" s="27">
        <v>850</v>
      </c>
      <c r="L111" s="27">
        <v>0.15</v>
      </c>
      <c r="M111" s="1" t="s">
        <v>93</v>
      </c>
      <c r="N111" s="1" t="s">
        <v>51</v>
      </c>
      <c r="O111" t="str">
        <f t="shared" si="4"/>
        <v>Feb</v>
      </c>
      <c r="P111" t="str">
        <f t="shared" si="5"/>
        <v>2026</v>
      </c>
      <c r="Q111" s="25">
        <f t="shared" si="6"/>
        <v>900</v>
      </c>
      <c r="R111" s="29">
        <f t="shared" si="7"/>
        <v>2295</v>
      </c>
    </row>
    <row r="112" spans="1:18" x14ac:dyDescent="0.25">
      <c r="A112" s="5" t="s">
        <v>290</v>
      </c>
      <c r="B112" s="3" t="s">
        <v>291</v>
      </c>
      <c r="C112" s="1" t="s">
        <v>123</v>
      </c>
      <c r="D112" s="1" t="s">
        <v>36</v>
      </c>
      <c r="E112" s="1">
        <v>53</v>
      </c>
      <c r="F112" s="1" t="s">
        <v>29</v>
      </c>
      <c r="G112" s="1" t="s">
        <v>30</v>
      </c>
      <c r="H112" s="1" t="s">
        <v>62</v>
      </c>
      <c r="I112" s="1" t="s">
        <v>23</v>
      </c>
      <c r="J112" s="1">
        <v>6</v>
      </c>
      <c r="K112" s="27">
        <v>15</v>
      </c>
      <c r="L112" s="27">
        <v>0.15</v>
      </c>
      <c r="M112" s="1" t="s">
        <v>58</v>
      </c>
      <c r="N112" s="1" t="s">
        <v>51</v>
      </c>
      <c r="O112" t="str">
        <f t="shared" si="4"/>
        <v>Feb</v>
      </c>
      <c r="P112" t="str">
        <f t="shared" si="5"/>
        <v>2026</v>
      </c>
      <c r="Q112" s="25">
        <f t="shared" si="6"/>
        <v>65</v>
      </c>
      <c r="R112" s="29">
        <f t="shared" si="7"/>
        <v>331.5</v>
      </c>
    </row>
    <row r="113" spans="1:18" x14ac:dyDescent="0.25">
      <c r="A113" s="5" t="s">
        <v>292</v>
      </c>
      <c r="B113" s="3" t="s">
        <v>120</v>
      </c>
      <c r="C113" s="1" t="s">
        <v>149</v>
      </c>
      <c r="D113" s="1" t="s">
        <v>36</v>
      </c>
      <c r="E113" s="1">
        <v>55</v>
      </c>
      <c r="F113" s="1" t="s">
        <v>20</v>
      </c>
      <c r="G113" s="1" t="s">
        <v>21</v>
      </c>
      <c r="H113" s="1" t="s">
        <v>68</v>
      </c>
      <c r="I113" s="1" t="s">
        <v>69</v>
      </c>
      <c r="J113" s="1">
        <v>2</v>
      </c>
      <c r="K113" s="27">
        <v>2</v>
      </c>
      <c r="L113" s="27">
        <v>0.15</v>
      </c>
      <c r="M113" s="1" t="s">
        <v>31</v>
      </c>
      <c r="N113" s="1" t="s">
        <v>51</v>
      </c>
      <c r="O113" t="str">
        <f t="shared" si="4"/>
        <v>Jan</v>
      </c>
      <c r="P113" t="str">
        <f t="shared" si="5"/>
        <v>2026</v>
      </c>
      <c r="Q113" s="25">
        <f t="shared" si="6"/>
        <v>52</v>
      </c>
      <c r="R113" s="29">
        <f t="shared" si="7"/>
        <v>88.399999999999991</v>
      </c>
    </row>
    <row r="114" spans="1:18" x14ac:dyDescent="0.25">
      <c r="A114" s="5" t="s">
        <v>293</v>
      </c>
      <c r="B114" s="3" t="s">
        <v>227</v>
      </c>
      <c r="C114" s="1" t="s">
        <v>294</v>
      </c>
      <c r="D114" s="1" t="s">
        <v>36</v>
      </c>
      <c r="E114" s="1">
        <v>47</v>
      </c>
      <c r="F114" s="1" t="s">
        <v>29</v>
      </c>
      <c r="G114" s="1" t="s">
        <v>30</v>
      </c>
      <c r="H114" s="1" t="s">
        <v>22</v>
      </c>
      <c r="I114" s="1" t="s">
        <v>23</v>
      </c>
      <c r="J114" s="1">
        <v>5</v>
      </c>
      <c r="K114" s="27">
        <v>850</v>
      </c>
      <c r="L114" s="27">
        <v>0.05</v>
      </c>
      <c r="M114" s="1" t="s">
        <v>39</v>
      </c>
      <c r="N114" s="1" t="s">
        <v>51</v>
      </c>
      <c r="O114" t="str">
        <f t="shared" si="4"/>
        <v>Jun</v>
      </c>
      <c r="P114" t="str">
        <f t="shared" si="5"/>
        <v>2026</v>
      </c>
      <c r="Q114" s="25">
        <f t="shared" si="6"/>
        <v>900</v>
      </c>
      <c r="R114" s="29">
        <f t="shared" si="7"/>
        <v>4275</v>
      </c>
    </row>
    <row r="115" spans="1:18" x14ac:dyDescent="0.25">
      <c r="A115" s="5" t="s">
        <v>295</v>
      </c>
      <c r="B115" s="3" t="s">
        <v>138</v>
      </c>
      <c r="C115" s="1" t="s">
        <v>180</v>
      </c>
      <c r="D115" s="1" t="s">
        <v>19</v>
      </c>
      <c r="E115" s="1">
        <v>60</v>
      </c>
      <c r="F115" s="1" t="s">
        <v>20</v>
      </c>
      <c r="G115" s="1" t="s">
        <v>21</v>
      </c>
      <c r="H115" s="1" t="s">
        <v>22</v>
      </c>
      <c r="I115" s="1" t="s">
        <v>23</v>
      </c>
      <c r="J115" s="1">
        <v>4</v>
      </c>
      <c r="K115" s="27">
        <v>850</v>
      </c>
      <c r="L115" s="27">
        <v>0.1</v>
      </c>
      <c r="M115" s="1" t="s">
        <v>45</v>
      </c>
      <c r="N115" s="1" t="s">
        <v>32</v>
      </c>
      <c r="O115" t="str">
        <f t="shared" si="4"/>
        <v>Jun</v>
      </c>
      <c r="P115" t="str">
        <f t="shared" si="5"/>
        <v>2026</v>
      </c>
      <c r="Q115" s="25">
        <f t="shared" si="6"/>
        <v>900</v>
      </c>
      <c r="R115" s="29">
        <f t="shared" si="7"/>
        <v>3240</v>
      </c>
    </row>
    <row r="116" spans="1:18" x14ac:dyDescent="0.25">
      <c r="A116" s="5" t="s">
        <v>296</v>
      </c>
      <c r="B116" s="3" t="s">
        <v>271</v>
      </c>
      <c r="C116" s="1" t="s">
        <v>145</v>
      </c>
      <c r="D116" s="1" t="s">
        <v>36</v>
      </c>
      <c r="E116" s="1">
        <v>50</v>
      </c>
      <c r="F116" s="1" t="s">
        <v>88</v>
      </c>
      <c r="G116" s="1" t="s">
        <v>89</v>
      </c>
      <c r="H116" s="1" t="s">
        <v>62</v>
      </c>
      <c r="I116" s="1" t="s">
        <v>23</v>
      </c>
      <c r="J116" s="1">
        <v>9</v>
      </c>
      <c r="K116" s="27">
        <v>15</v>
      </c>
      <c r="L116" s="27">
        <v>0.05</v>
      </c>
      <c r="M116" s="1" t="s">
        <v>31</v>
      </c>
      <c r="N116" s="1" t="s">
        <v>55</v>
      </c>
      <c r="O116" t="str">
        <f t="shared" si="4"/>
        <v>Mar</v>
      </c>
      <c r="P116" t="str">
        <f t="shared" si="5"/>
        <v>2026</v>
      </c>
      <c r="Q116" s="25">
        <f t="shared" si="6"/>
        <v>65</v>
      </c>
      <c r="R116" s="29">
        <f t="shared" si="7"/>
        <v>555.75</v>
      </c>
    </row>
    <row r="117" spans="1:18" x14ac:dyDescent="0.25">
      <c r="A117" s="5" t="s">
        <v>297</v>
      </c>
      <c r="B117" s="3" t="s">
        <v>214</v>
      </c>
      <c r="C117" s="1" t="s">
        <v>165</v>
      </c>
      <c r="D117" s="1" t="s">
        <v>19</v>
      </c>
      <c r="E117" s="1">
        <v>53</v>
      </c>
      <c r="F117" s="1" t="s">
        <v>29</v>
      </c>
      <c r="G117" s="1" t="s">
        <v>30</v>
      </c>
      <c r="H117" s="1" t="s">
        <v>109</v>
      </c>
      <c r="I117" s="1" t="s">
        <v>50</v>
      </c>
      <c r="J117" s="1">
        <v>6</v>
      </c>
      <c r="K117" s="27">
        <v>80</v>
      </c>
      <c r="L117" s="27">
        <v>0</v>
      </c>
      <c r="M117" s="1" t="s">
        <v>39</v>
      </c>
      <c r="N117" s="1" t="s">
        <v>55</v>
      </c>
      <c r="O117" t="str">
        <f t="shared" si="4"/>
        <v>May</v>
      </c>
      <c r="P117" t="str">
        <f t="shared" si="5"/>
        <v>2026</v>
      </c>
      <c r="Q117" s="25">
        <f t="shared" si="6"/>
        <v>130</v>
      </c>
      <c r="R117" s="29">
        <f t="shared" si="7"/>
        <v>780</v>
      </c>
    </row>
    <row r="118" spans="1:18" x14ac:dyDescent="0.25">
      <c r="A118" s="5" t="s">
        <v>298</v>
      </c>
      <c r="B118" s="3" t="s">
        <v>299</v>
      </c>
      <c r="C118" s="1" t="s">
        <v>48</v>
      </c>
      <c r="D118" s="1" t="s">
        <v>36</v>
      </c>
      <c r="E118" s="1">
        <v>23</v>
      </c>
      <c r="F118" s="1" t="s">
        <v>88</v>
      </c>
      <c r="G118" s="1" t="s">
        <v>89</v>
      </c>
      <c r="H118" s="1" t="s">
        <v>68</v>
      </c>
      <c r="I118" s="1" t="s">
        <v>69</v>
      </c>
      <c r="J118" s="1">
        <v>3</v>
      </c>
      <c r="K118" s="27">
        <v>2</v>
      </c>
      <c r="L118" s="27">
        <v>0</v>
      </c>
      <c r="M118" s="1" t="s">
        <v>39</v>
      </c>
      <c r="N118" s="1" t="s">
        <v>55</v>
      </c>
      <c r="O118" t="str">
        <f t="shared" si="4"/>
        <v>Apr</v>
      </c>
      <c r="P118" t="str">
        <f t="shared" si="5"/>
        <v>2026</v>
      </c>
      <c r="Q118" s="25">
        <f t="shared" si="6"/>
        <v>52</v>
      </c>
      <c r="R118" s="29">
        <f t="shared" si="7"/>
        <v>156</v>
      </c>
    </row>
    <row r="119" spans="1:18" x14ac:dyDescent="0.25">
      <c r="A119" s="5" t="s">
        <v>300</v>
      </c>
      <c r="B119" s="3" t="s">
        <v>260</v>
      </c>
      <c r="C119" s="1" t="s">
        <v>114</v>
      </c>
      <c r="D119" s="1" t="s">
        <v>36</v>
      </c>
      <c r="E119" s="1">
        <v>31</v>
      </c>
      <c r="F119" s="1" t="s">
        <v>29</v>
      </c>
      <c r="G119" s="1" t="s">
        <v>30</v>
      </c>
      <c r="H119" s="1" t="s">
        <v>109</v>
      </c>
      <c r="I119" s="1" t="s">
        <v>50</v>
      </c>
      <c r="J119" s="1">
        <v>10</v>
      </c>
      <c r="K119" s="27">
        <v>80</v>
      </c>
      <c r="L119" s="27">
        <v>0.1</v>
      </c>
      <c r="M119" s="1" t="s">
        <v>93</v>
      </c>
      <c r="N119" s="1" t="s">
        <v>32</v>
      </c>
      <c r="O119" t="str">
        <f t="shared" si="4"/>
        <v>Apr</v>
      </c>
      <c r="P119" t="str">
        <f t="shared" si="5"/>
        <v>2026</v>
      </c>
      <c r="Q119" s="25">
        <f t="shared" si="6"/>
        <v>130</v>
      </c>
      <c r="R119" s="29">
        <f t="shared" si="7"/>
        <v>1170</v>
      </c>
    </row>
    <row r="120" spans="1:18" x14ac:dyDescent="0.25">
      <c r="A120" s="5" t="s">
        <v>301</v>
      </c>
      <c r="B120" s="3" t="s">
        <v>302</v>
      </c>
      <c r="C120" s="1" t="s">
        <v>303</v>
      </c>
      <c r="D120" s="1" t="s">
        <v>19</v>
      </c>
      <c r="E120" s="1">
        <v>22</v>
      </c>
      <c r="F120" s="1" t="s">
        <v>20</v>
      </c>
      <c r="G120" s="1" t="s">
        <v>21</v>
      </c>
      <c r="H120" s="1" t="s">
        <v>68</v>
      </c>
      <c r="I120" s="1" t="s">
        <v>69</v>
      </c>
      <c r="J120" s="1">
        <v>6</v>
      </c>
      <c r="K120" s="27">
        <v>2</v>
      </c>
      <c r="L120" s="27">
        <v>0.1</v>
      </c>
      <c r="M120" s="1" t="s">
        <v>93</v>
      </c>
      <c r="N120" s="1" t="s">
        <v>51</v>
      </c>
      <c r="O120" t="str">
        <f t="shared" si="4"/>
        <v>Mar</v>
      </c>
      <c r="P120" t="str">
        <f t="shared" si="5"/>
        <v>2026</v>
      </c>
      <c r="Q120" s="25">
        <f t="shared" si="6"/>
        <v>52</v>
      </c>
      <c r="R120" s="29">
        <f t="shared" si="7"/>
        <v>280.8</v>
      </c>
    </row>
    <row r="121" spans="1:18" x14ac:dyDescent="0.25">
      <c r="A121" s="5" t="s">
        <v>304</v>
      </c>
      <c r="B121" s="3" t="s">
        <v>174</v>
      </c>
      <c r="C121" s="1" t="s">
        <v>117</v>
      </c>
      <c r="D121" s="1" t="s">
        <v>19</v>
      </c>
      <c r="E121" s="1">
        <v>41</v>
      </c>
      <c r="F121" s="1" t="s">
        <v>88</v>
      </c>
      <c r="G121" s="1" t="s">
        <v>89</v>
      </c>
      <c r="H121" s="1" t="s">
        <v>62</v>
      </c>
      <c r="I121" s="1" t="s">
        <v>23</v>
      </c>
      <c r="J121" s="1">
        <v>9</v>
      </c>
      <c r="K121" s="27">
        <v>15</v>
      </c>
      <c r="L121" s="27">
        <v>0</v>
      </c>
      <c r="M121" s="1" t="s">
        <v>45</v>
      </c>
      <c r="N121" s="1" t="s">
        <v>32</v>
      </c>
      <c r="O121" t="str">
        <f t="shared" si="4"/>
        <v>May</v>
      </c>
      <c r="P121" t="str">
        <f t="shared" si="5"/>
        <v>2026</v>
      </c>
      <c r="Q121" s="25">
        <f t="shared" si="6"/>
        <v>65</v>
      </c>
      <c r="R121" s="29">
        <f t="shared" si="7"/>
        <v>585</v>
      </c>
    </row>
    <row r="122" spans="1:18" x14ac:dyDescent="0.25">
      <c r="A122" s="5" t="s">
        <v>305</v>
      </c>
      <c r="B122" s="3" t="s">
        <v>64</v>
      </c>
      <c r="C122" s="1" t="s">
        <v>48</v>
      </c>
      <c r="D122" s="1" t="s">
        <v>19</v>
      </c>
      <c r="E122" s="1">
        <v>43</v>
      </c>
      <c r="F122" s="1" t="s">
        <v>37</v>
      </c>
      <c r="G122" s="1" t="s">
        <v>38</v>
      </c>
      <c r="H122" s="1" t="s">
        <v>62</v>
      </c>
      <c r="I122" s="1" t="s">
        <v>23</v>
      </c>
      <c r="J122" s="1">
        <v>10</v>
      </c>
      <c r="K122" s="27">
        <v>15</v>
      </c>
      <c r="L122" s="27">
        <v>0.1</v>
      </c>
      <c r="M122" s="1" t="s">
        <v>93</v>
      </c>
      <c r="N122" s="1" t="s">
        <v>25</v>
      </c>
      <c r="O122" t="str">
        <f t="shared" si="4"/>
        <v>Apr</v>
      </c>
      <c r="P122" t="str">
        <f t="shared" si="5"/>
        <v>2026</v>
      </c>
      <c r="Q122" s="25">
        <f t="shared" si="6"/>
        <v>65</v>
      </c>
      <c r="R122" s="29">
        <f t="shared" si="7"/>
        <v>585</v>
      </c>
    </row>
    <row r="123" spans="1:18" x14ac:dyDescent="0.25">
      <c r="A123" s="5" t="s">
        <v>306</v>
      </c>
      <c r="B123" s="3" t="s">
        <v>307</v>
      </c>
      <c r="C123" s="1" t="s">
        <v>108</v>
      </c>
      <c r="D123" s="1" t="s">
        <v>19</v>
      </c>
      <c r="E123" s="1">
        <v>57</v>
      </c>
      <c r="F123" s="1" t="s">
        <v>37</v>
      </c>
      <c r="G123" s="1" t="s">
        <v>38</v>
      </c>
      <c r="H123" s="1" t="s">
        <v>49</v>
      </c>
      <c r="I123" s="1" t="s">
        <v>50</v>
      </c>
      <c r="J123" s="1">
        <v>7</v>
      </c>
      <c r="K123" s="27">
        <v>120</v>
      </c>
      <c r="L123" s="27">
        <v>0.1</v>
      </c>
      <c r="M123" s="1" t="s">
        <v>31</v>
      </c>
      <c r="N123" s="1" t="s">
        <v>51</v>
      </c>
      <c r="O123" t="str">
        <f t="shared" si="4"/>
        <v>May</v>
      </c>
      <c r="P123" t="str">
        <f t="shared" si="5"/>
        <v>2026</v>
      </c>
      <c r="Q123" s="25">
        <f t="shared" si="6"/>
        <v>170</v>
      </c>
      <c r="R123" s="29">
        <f t="shared" si="7"/>
        <v>1071</v>
      </c>
    </row>
    <row r="124" spans="1:18" x14ac:dyDescent="0.25">
      <c r="A124" s="5" t="s">
        <v>308</v>
      </c>
      <c r="B124" s="3" t="s">
        <v>284</v>
      </c>
      <c r="C124" s="1" t="s">
        <v>96</v>
      </c>
      <c r="D124" s="1" t="s">
        <v>36</v>
      </c>
      <c r="E124" s="1">
        <v>31</v>
      </c>
      <c r="F124" s="1" t="s">
        <v>29</v>
      </c>
      <c r="G124" s="1" t="s">
        <v>30</v>
      </c>
      <c r="H124" s="1" t="s">
        <v>118</v>
      </c>
      <c r="I124" s="1" t="s">
        <v>23</v>
      </c>
      <c r="J124" s="1">
        <v>9</v>
      </c>
      <c r="K124" s="27">
        <v>180</v>
      </c>
      <c r="L124" s="27">
        <v>0.05</v>
      </c>
      <c r="M124" s="1" t="s">
        <v>31</v>
      </c>
      <c r="N124" s="1" t="s">
        <v>32</v>
      </c>
      <c r="O124" t="str">
        <f t="shared" si="4"/>
        <v>Feb</v>
      </c>
      <c r="P124" t="str">
        <f t="shared" si="5"/>
        <v>2026</v>
      </c>
      <c r="Q124" s="25">
        <f t="shared" si="6"/>
        <v>230</v>
      </c>
      <c r="R124" s="29">
        <f t="shared" si="7"/>
        <v>1966.5</v>
      </c>
    </row>
    <row r="125" spans="1:18" x14ac:dyDescent="0.25">
      <c r="A125" s="5" t="s">
        <v>309</v>
      </c>
      <c r="B125" s="3" t="s">
        <v>310</v>
      </c>
      <c r="C125" s="1" t="s">
        <v>131</v>
      </c>
      <c r="D125" s="1" t="s">
        <v>36</v>
      </c>
      <c r="E125" s="1">
        <v>55</v>
      </c>
      <c r="F125" s="1" t="s">
        <v>29</v>
      </c>
      <c r="G125" s="1" t="s">
        <v>30</v>
      </c>
      <c r="H125" s="1" t="s">
        <v>62</v>
      </c>
      <c r="I125" s="1" t="s">
        <v>23</v>
      </c>
      <c r="J125" s="1">
        <v>2</v>
      </c>
      <c r="K125" s="27">
        <v>15</v>
      </c>
      <c r="L125" s="27">
        <v>0</v>
      </c>
      <c r="M125" s="1" t="s">
        <v>39</v>
      </c>
      <c r="N125" s="1" t="s">
        <v>25</v>
      </c>
      <c r="O125" t="str">
        <f t="shared" si="4"/>
        <v>Jun</v>
      </c>
      <c r="P125" t="str">
        <f t="shared" si="5"/>
        <v>2026</v>
      </c>
      <c r="Q125" s="25">
        <f t="shared" si="6"/>
        <v>65</v>
      </c>
      <c r="R125" s="29">
        <f t="shared" si="7"/>
        <v>130</v>
      </c>
    </row>
    <row r="126" spans="1:18" x14ac:dyDescent="0.25">
      <c r="A126" s="5" t="s">
        <v>311</v>
      </c>
      <c r="B126" s="3" t="s">
        <v>312</v>
      </c>
      <c r="C126" s="1" t="s">
        <v>165</v>
      </c>
      <c r="D126" s="1" t="s">
        <v>36</v>
      </c>
      <c r="E126" s="1">
        <v>27</v>
      </c>
      <c r="F126" s="1" t="s">
        <v>37</v>
      </c>
      <c r="G126" s="1" t="s">
        <v>38</v>
      </c>
      <c r="H126" s="1" t="s">
        <v>49</v>
      </c>
      <c r="I126" s="1" t="s">
        <v>50</v>
      </c>
      <c r="J126" s="1">
        <v>6</v>
      </c>
      <c r="K126" s="27">
        <v>120</v>
      </c>
      <c r="L126" s="27">
        <v>0.15</v>
      </c>
      <c r="M126" s="1" t="s">
        <v>39</v>
      </c>
      <c r="N126" s="1" t="s">
        <v>32</v>
      </c>
      <c r="O126" t="str">
        <f t="shared" si="4"/>
        <v>Jan</v>
      </c>
      <c r="P126" t="str">
        <f t="shared" si="5"/>
        <v>2026</v>
      </c>
      <c r="Q126" s="25">
        <f t="shared" si="6"/>
        <v>170</v>
      </c>
      <c r="R126" s="29">
        <f t="shared" si="7"/>
        <v>867</v>
      </c>
    </row>
    <row r="127" spans="1:18" x14ac:dyDescent="0.25">
      <c r="A127" s="5" t="s">
        <v>313</v>
      </c>
      <c r="B127" s="3" t="s">
        <v>314</v>
      </c>
      <c r="C127" s="1" t="s">
        <v>266</v>
      </c>
      <c r="D127" s="1" t="s">
        <v>19</v>
      </c>
      <c r="E127" s="1">
        <v>35</v>
      </c>
      <c r="F127" s="1" t="s">
        <v>43</v>
      </c>
      <c r="G127" s="1" t="s">
        <v>44</v>
      </c>
      <c r="H127" s="1" t="s">
        <v>22</v>
      </c>
      <c r="I127" s="1" t="s">
        <v>23</v>
      </c>
      <c r="J127" s="1">
        <v>9</v>
      </c>
      <c r="K127" s="27">
        <v>850</v>
      </c>
      <c r="L127" s="27">
        <v>0.05</v>
      </c>
      <c r="M127" s="1" t="s">
        <v>39</v>
      </c>
      <c r="N127" s="1" t="s">
        <v>32</v>
      </c>
      <c r="O127" t="str">
        <f t="shared" si="4"/>
        <v>Feb</v>
      </c>
      <c r="P127" t="str">
        <f t="shared" si="5"/>
        <v>2026</v>
      </c>
      <c r="Q127" s="25">
        <f t="shared" si="6"/>
        <v>900</v>
      </c>
      <c r="R127" s="29">
        <f t="shared" si="7"/>
        <v>7695</v>
      </c>
    </row>
    <row r="128" spans="1:18" x14ac:dyDescent="0.25">
      <c r="A128" s="5" t="s">
        <v>315</v>
      </c>
      <c r="B128" s="3" t="s">
        <v>316</v>
      </c>
      <c r="C128" s="1" t="s">
        <v>72</v>
      </c>
      <c r="D128" s="1" t="s">
        <v>36</v>
      </c>
      <c r="E128" s="1">
        <v>52</v>
      </c>
      <c r="F128" s="1" t="s">
        <v>20</v>
      </c>
      <c r="G128" s="1" t="s">
        <v>21</v>
      </c>
      <c r="H128" s="1" t="s">
        <v>118</v>
      </c>
      <c r="I128" s="1" t="s">
        <v>23</v>
      </c>
      <c r="J128" s="1">
        <v>5</v>
      </c>
      <c r="K128" s="27">
        <v>180</v>
      </c>
      <c r="L128" s="27">
        <v>0.1</v>
      </c>
      <c r="M128" s="1" t="s">
        <v>93</v>
      </c>
      <c r="N128" s="1" t="s">
        <v>25</v>
      </c>
      <c r="O128" t="str">
        <f t="shared" si="4"/>
        <v>Mar</v>
      </c>
      <c r="P128" t="str">
        <f t="shared" si="5"/>
        <v>2026</v>
      </c>
      <c r="Q128" s="25">
        <f t="shared" si="6"/>
        <v>230</v>
      </c>
      <c r="R128" s="29">
        <f t="shared" si="7"/>
        <v>1035</v>
      </c>
    </row>
    <row r="129" spans="1:18" x14ac:dyDescent="0.25">
      <c r="A129" s="5" t="s">
        <v>317</v>
      </c>
      <c r="B129" s="3" t="s">
        <v>122</v>
      </c>
      <c r="C129" s="1" t="s">
        <v>318</v>
      </c>
      <c r="D129" s="1" t="s">
        <v>36</v>
      </c>
      <c r="E129" s="1">
        <v>25</v>
      </c>
      <c r="F129" s="1" t="s">
        <v>20</v>
      </c>
      <c r="G129" s="1" t="s">
        <v>21</v>
      </c>
      <c r="H129" s="1" t="s">
        <v>73</v>
      </c>
      <c r="I129" s="1" t="s">
        <v>69</v>
      </c>
      <c r="J129" s="1">
        <v>4</v>
      </c>
      <c r="K129" s="27">
        <v>5</v>
      </c>
      <c r="L129" s="27">
        <v>0.1</v>
      </c>
      <c r="M129" s="1" t="s">
        <v>58</v>
      </c>
      <c r="N129" s="1" t="s">
        <v>51</v>
      </c>
      <c r="O129" t="str">
        <f t="shared" si="4"/>
        <v>Mar</v>
      </c>
      <c r="P129" t="str">
        <f t="shared" si="5"/>
        <v>2026</v>
      </c>
      <c r="Q129" s="25">
        <f t="shared" si="6"/>
        <v>55</v>
      </c>
      <c r="R129" s="29">
        <f t="shared" si="7"/>
        <v>198</v>
      </c>
    </row>
    <row r="130" spans="1:18" x14ac:dyDescent="0.25">
      <c r="A130" s="5" t="s">
        <v>319</v>
      </c>
      <c r="B130" s="3" t="s">
        <v>133</v>
      </c>
      <c r="C130" s="1" t="s">
        <v>35</v>
      </c>
      <c r="D130" s="1" t="s">
        <v>19</v>
      </c>
      <c r="E130" s="1">
        <v>23</v>
      </c>
      <c r="F130" s="1" t="s">
        <v>37</v>
      </c>
      <c r="G130" s="1" t="s">
        <v>38</v>
      </c>
      <c r="H130" s="1" t="s">
        <v>49</v>
      </c>
      <c r="I130" s="1" t="s">
        <v>50</v>
      </c>
      <c r="J130" s="1">
        <v>10</v>
      </c>
      <c r="K130" s="27">
        <v>120</v>
      </c>
      <c r="L130" s="27">
        <v>0.15</v>
      </c>
      <c r="M130" s="1" t="s">
        <v>31</v>
      </c>
      <c r="N130" s="1" t="s">
        <v>32</v>
      </c>
      <c r="O130" t="str">
        <f t="shared" ref="O130:O193" si="8">TEXT(B:B,"MMM")</f>
        <v>Mar</v>
      </c>
      <c r="P130" t="str">
        <f t="shared" ref="P130:P193" si="9">TEXT(B:B,"YYYY")</f>
        <v>2026</v>
      </c>
      <c r="Q130" s="25">
        <f t="shared" ref="Q130:Q193" si="10">K:K+50</f>
        <v>170</v>
      </c>
      <c r="R130" s="29">
        <f t="shared" si="7"/>
        <v>1445</v>
      </c>
    </row>
    <row r="131" spans="1:18" x14ac:dyDescent="0.25">
      <c r="A131" s="5" t="s">
        <v>320</v>
      </c>
      <c r="B131" s="3" t="s">
        <v>321</v>
      </c>
      <c r="C131" s="1" t="s">
        <v>205</v>
      </c>
      <c r="D131" s="1" t="s">
        <v>19</v>
      </c>
      <c r="E131" s="1">
        <v>48</v>
      </c>
      <c r="F131" s="1" t="s">
        <v>20</v>
      </c>
      <c r="G131" s="1" t="s">
        <v>21</v>
      </c>
      <c r="H131" s="1" t="s">
        <v>68</v>
      </c>
      <c r="I131" s="1" t="s">
        <v>69</v>
      </c>
      <c r="J131" s="1">
        <v>2</v>
      </c>
      <c r="K131" s="27">
        <v>2</v>
      </c>
      <c r="L131" s="27">
        <v>0.1</v>
      </c>
      <c r="M131" s="1" t="s">
        <v>24</v>
      </c>
      <c r="N131" s="1" t="s">
        <v>32</v>
      </c>
      <c r="O131" t="str">
        <f t="shared" si="8"/>
        <v>Feb</v>
      </c>
      <c r="P131" t="str">
        <f t="shared" si="9"/>
        <v>2026</v>
      </c>
      <c r="Q131" s="25">
        <f t="shared" si="10"/>
        <v>52</v>
      </c>
      <c r="R131" s="29">
        <f t="shared" ref="R131:R194" si="11">J:J*Q:Q*(1-L:L)</f>
        <v>93.600000000000009</v>
      </c>
    </row>
    <row r="132" spans="1:18" x14ac:dyDescent="0.25">
      <c r="A132" s="5" t="s">
        <v>322</v>
      </c>
      <c r="B132" s="3" t="s">
        <v>323</v>
      </c>
      <c r="C132" s="1" t="s">
        <v>82</v>
      </c>
      <c r="D132" s="1" t="s">
        <v>19</v>
      </c>
      <c r="E132" s="1">
        <v>43</v>
      </c>
      <c r="F132" s="1" t="s">
        <v>20</v>
      </c>
      <c r="G132" s="1" t="s">
        <v>21</v>
      </c>
      <c r="H132" s="1" t="s">
        <v>118</v>
      </c>
      <c r="I132" s="1" t="s">
        <v>23</v>
      </c>
      <c r="J132" s="1">
        <v>10</v>
      </c>
      <c r="K132" s="27">
        <v>180</v>
      </c>
      <c r="L132" s="27">
        <v>0.05</v>
      </c>
      <c r="M132" s="1" t="s">
        <v>31</v>
      </c>
      <c r="N132" s="1" t="s">
        <v>55</v>
      </c>
      <c r="O132" t="str">
        <f t="shared" si="8"/>
        <v>Jun</v>
      </c>
      <c r="P132" t="str">
        <f t="shared" si="9"/>
        <v>2026</v>
      </c>
      <c r="Q132" s="25">
        <f t="shared" si="10"/>
        <v>230</v>
      </c>
      <c r="R132" s="29">
        <f t="shared" si="11"/>
        <v>2185</v>
      </c>
    </row>
    <row r="133" spans="1:18" x14ac:dyDescent="0.25">
      <c r="A133" s="5" t="s">
        <v>324</v>
      </c>
      <c r="B133" s="3" t="s">
        <v>199</v>
      </c>
      <c r="C133" s="1" t="s">
        <v>233</v>
      </c>
      <c r="D133" s="1" t="s">
        <v>19</v>
      </c>
      <c r="E133" s="1">
        <v>31</v>
      </c>
      <c r="F133" s="1" t="s">
        <v>29</v>
      </c>
      <c r="G133" s="1" t="s">
        <v>30</v>
      </c>
      <c r="H133" s="1" t="s">
        <v>62</v>
      </c>
      <c r="I133" s="1" t="s">
        <v>23</v>
      </c>
      <c r="J133" s="1">
        <v>4</v>
      </c>
      <c r="K133" s="27">
        <v>15</v>
      </c>
      <c r="L133" s="27">
        <v>0.15</v>
      </c>
      <c r="M133" s="1" t="s">
        <v>39</v>
      </c>
      <c r="N133" s="1" t="s">
        <v>55</v>
      </c>
      <c r="O133" t="str">
        <f t="shared" si="8"/>
        <v>Mar</v>
      </c>
      <c r="P133" t="str">
        <f t="shared" si="9"/>
        <v>2026</v>
      </c>
      <c r="Q133" s="25">
        <f t="shared" si="10"/>
        <v>65</v>
      </c>
      <c r="R133" s="29">
        <f t="shared" si="11"/>
        <v>221</v>
      </c>
    </row>
    <row r="134" spans="1:18" x14ac:dyDescent="0.25">
      <c r="A134" s="5" t="s">
        <v>325</v>
      </c>
      <c r="B134" s="3" t="s">
        <v>197</v>
      </c>
      <c r="C134" s="1" t="s">
        <v>61</v>
      </c>
      <c r="D134" s="1" t="s">
        <v>36</v>
      </c>
      <c r="E134" s="1">
        <v>31</v>
      </c>
      <c r="F134" s="1" t="s">
        <v>20</v>
      </c>
      <c r="G134" s="1" t="s">
        <v>21</v>
      </c>
      <c r="H134" s="1" t="s">
        <v>49</v>
      </c>
      <c r="I134" s="1" t="s">
        <v>50</v>
      </c>
      <c r="J134" s="1">
        <v>7</v>
      </c>
      <c r="K134" s="27">
        <v>120</v>
      </c>
      <c r="L134" s="27">
        <v>0.1</v>
      </c>
      <c r="M134" s="1" t="s">
        <v>58</v>
      </c>
      <c r="N134" s="1" t="s">
        <v>25</v>
      </c>
      <c r="O134" t="str">
        <f t="shared" si="8"/>
        <v>Mar</v>
      </c>
      <c r="P134" t="str">
        <f t="shared" si="9"/>
        <v>2026</v>
      </c>
      <c r="Q134" s="25">
        <f t="shared" si="10"/>
        <v>170</v>
      </c>
      <c r="R134" s="29">
        <f t="shared" si="11"/>
        <v>1071</v>
      </c>
    </row>
    <row r="135" spans="1:18" x14ac:dyDescent="0.25">
      <c r="A135" s="5" t="s">
        <v>326</v>
      </c>
      <c r="B135" s="3" t="s">
        <v>291</v>
      </c>
      <c r="C135" s="1" t="s">
        <v>82</v>
      </c>
      <c r="D135" s="1" t="s">
        <v>36</v>
      </c>
      <c r="E135" s="1">
        <v>28</v>
      </c>
      <c r="F135" s="1" t="s">
        <v>29</v>
      </c>
      <c r="G135" s="1" t="s">
        <v>30</v>
      </c>
      <c r="H135" s="1" t="s">
        <v>73</v>
      </c>
      <c r="I135" s="1" t="s">
        <v>69</v>
      </c>
      <c r="J135" s="1">
        <v>2</v>
      </c>
      <c r="K135" s="27">
        <v>5</v>
      </c>
      <c r="L135" s="27">
        <v>0</v>
      </c>
      <c r="M135" s="1" t="s">
        <v>39</v>
      </c>
      <c r="N135" s="1" t="s">
        <v>32</v>
      </c>
      <c r="O135" t="str">
        <f t="shared" si="8"/>
        <v>Feb</v>
      </c>
      <c r="P135" t="str">
        <f t="shared" si="9"/>
        <v>2026</v>
      </c>
      <c r="Q135" s="25">
        <f t="shared" si="10"/>
        <v>55</v>
      </c>
      <c r="R135" s="29">
        <f t="shared" si="11"/>
        <v>110</v>
      </c>
    </row>
    <row r="136" spans="1:18" x14ac:dyDescent="0.25">
      <c r="A136" s="5" t="s">
        <v>327</v>
      </c>
      <c r="B136" s="3" t="s">
        <v>328</v>
      </c>
      <c r="C136" s="1" t="s">
        <v>223</v>
      </c>
      <c r="D136" s="1" t="s">
        <v>19</v>
      </c>
      <c r="E136" s="1">
        <v>32</v>
      </c>
      <c r="F136" s="1" t="s">
        <v>20</v>
      </c>
      <c r="G136" s="1" t="s">
        <v>21</v>
      </c>
      <c r="H136" s="1" t="s">
        <v>49</v>
      </c>
      <c r="I136" s="1" t="s">
        <v>50</v>
      </c>
      <c r="J136" s="1">
        <v>9</v>
      </c>
      <c r="K136" s="27">
        <v>120</v>
      </c>
      <c r="L136" s="27">
        <v>0.1</v>
      </c>
      <c r="M136" s="1" t="s">
        <v>39</v>
      </c>
      <c r="N136" s="1" t="s">
        <v>32</v>
      </c>
      <c r="O136" t="str">
        <f t="shared" si="8"/>
        <v>May</v>
      </c>
      <c r="P136" t="str">
        <f t="shared" si="9"/>
        <v>2026</v>
      </c>
      <c r="Q136" s="25">
        <f t="shared" si="10"/>
        <v>170</v>
      </c>
      <c r="R136" s="29">
        <f t="shared" si="11"/>
        <v>1377</v>
      </c>
    </row>
    <row r="137" spans="1:18" x14ac:dyDescent="0.25">
      <c r="A137" s="5" t="s">
        <v>329</v>
      </c>
      <c r="B137" s="3" t="s">
        <v>286</v>
      </c>
      <c r="C137" s="1" t="s">
        <v>145</v>
      </c>
      <c r="D137" s="1" t="s">
        <v>36</v>
      </c>
      <c r="E137" s="1">
        <v>23</v>
      </c>
      <c r="F137" s="1" t="s">
        <v>29</v>
      </c>
      <c r="G137" s="1" t="s">
        <v>30</v>
      </c>
      <c r="H137" s="1" t="s">
        <v>22</v>
      </c>
      <c r="I137" s="1" t="s">
        <v>23</v>
      </c>
      <c r="J137" s="1">
        <v>9</v>
      </c>
      <c r="K137" s="27">
        <v>850</v>
      </c>
      <c r="L137" s="27">
        <v>0.05</v>
      </c>
      <c r="M137" s="1" t="s">
        <v>24</v>
      </c>
      <c r="N137" s="1" t="s">
        <v>51</v>
      </c>
      <c r="O137" t="str">
        <f t="shared" si="8"/>
        <v>May</v>
      </c>
      <c r="P137" t="str">
        <f t="shared" si="9"/>
        <v>2026</v>
      </c>
      <c r="Q137" s="25">
        <f t="shared" si="10"/>
        <v>900</v>
      </c>
      <c r="R137" s="29">
        <f t="shared" si="11"/>
        <v>7695</v>
      </c>
    </row>
    <row r="138" spans="1:18" x14ac:dyDescent="0.25">
      <c r="A138" s="5" t="s">
        <v>330</v>
      </c>
      <c r="B138" s="3" t="s">
        <v>331</v>
      </c>
      <c r="C138" s="1" t="s">
        <v>82</v>
      </c>
      <c r="D138" s="1" t="s">
        <v>19</v>
      </c>
      <c r="E138" s="1">
        <v>54</v>
      </c>
      <c r="F138" s="1" t="s">
        <v>43</v>
      </c>
      <c r="G138" s="1" t="s">
        <v>44</v>
      </c>
      <c r="H138" s="1" t="s">
        <v>118</v>
      </c>
      <c r="I138" s="1" t="s">
        <v>23</v>
      </c>
      <c r="J138" s="1">
        <v>10</v>
      </c>
      <c r="K138" s="27">
        <v>180</v>
      </c>
      <c r="L138" s="27">
        <v>0.05</v>
      </c>
      <c r="M138" s="1" t="s">
        <v>45</v>
      </c>
      <c r="N138" s="1" t="s">
        <v>25</v>
      </c>
      <c r="O138" t="str">
        <f t="shared" si="8"/>
        <v>Jan</v>
      </c>
      <c r="P138" t="str">
        <f t="shared" si="9"/>
        <v>2026</v>
      </c>
      <c r="Q138" s="25">
        <f t="shared" si="10"/>
        <v>230</v>
      </c>
      <c r="R138" s="29">
        <f t="shared" si="11"/>
        <v>2185</v>
      </c>
    </row>
    <row r="139" spans="1:18" x14ac:dyDescent="0.25">
      <c r="A139" s="5" t="s">
        <v>332</v>
      </c>
      <c r="B139" s="3" t="s">
        <v>307</v>
      </c>
      <c r="C139" s="1" t="s">
        <v>126</v>
      </c>
      <c r="D139" s="1" t="s">
        <v>36</v>
      </c>
      <c r="E139" s="1">
        <v>26</v>
      </c>
      <c r="F139" s="1" t="s">
        <v>29</v>
      </c>
      <c r="G139" s="1" t="s">
        <v>30</v>
      </c>
      <c r="H139" s="1" t="s">
        <v>118</v>
      </c>
      <c r="I139" s="1" t="s">
        <v>23</v>
      </c>
      <c r="J139" s="1">
        <v>9</v>
      </c>
      <c r="K139" s="27">
        <v>180</v>
      </c>
      <c r="L139" s="27">
        <v>0.05</v>
      </c>
      <c r="M139" s="1" t="s">
        <v>31</v>
      </c>
      <c r="N139" s="1" t="s">
        <v>32</v>
      </c>
      <c r="O139" t="str">
        <f t="shared" si="8"/>
        <v>May</v>
      </c>
      <c r="P139" t="str">
        <f t="shared" si="9"/>
        <v>2026</v>
      </c>
      <c r="Q139" s="25">
        <f t="shared" si="10"/>
        <v>230</v>
      </c>
      <c r="R139" s="29">
        <f t="shared" si="11"/>
        <v>1966.5</v>
      </c>
    </row>
    <row r="140" spans="1:18" x14ac:dyDescent="0.25">
      <c r="A140" s="5" t="s">
        <v>333</v>
      </c>
      <c r="B140" s="3" t="s">
        <v>334</v>
      </c>
      <c r="C140" s="1" t="s">
        <v>294</v>
      </c>
      <c r="D140" s="1" t="s">
        <v>36</v>
      </c>
      <c r="E140" s="1">
        <v>35</v>
      </c>
      <c r="F140" s="1" t="s">
        <v>20</v>
      </c>
      <c r="G140" s="1" t="s">
        <v>21</v>
      </c>
      <c r="H140" s="1" t="s">
        <v>79</v>
      </c>
      <c r="I140" s="1" t="s">
        <v>23</v>
      </c>
      <c r="J140" s="1">
        <v>6</v>
      </c>
      <c r="K140" s="27">
        <v>500</v>
      </c>
      <c r="L140" s="27">
        <v>0.05</v>
      </c>
      <c r="M140" s="1" t="s">
        <v>24</v>
      </c>
      <c r="N140" s="1" t="s">
        <v>25</v>
      </c>
      <c r="O140" t="str">
        <f t="shared" si="8"/>
        <v>Mar</v>
      </c>
      <c r="P140" t="str">
        <f t="shared" si="9"/>
        <v>2026</v>
      </c>
      <c r="Q140" s="25">
        <f t="shared" si="10"/>
        <v>550</v>
      </c>
      <c r="R140" s="29">
        <f t="shared" si="11"/>
        <v>3135</v>
      </c>
    </row>
    <row r="141" spans="1:18" x14ac:dyDescent="0.25">
      <c r="A141" s="5" t="s">
        <v>335</v>
      </c>
      <c r="B141" s="3" t="s">
        <v>336</v>
      </c>
      <c r="C141" s="1" t="s">
        <v>114</v>
      </c>
      <c r="D141" s="1" t="s">
        <v>19</v>
      </c>
      <c r="E141" s="1">
        <v>57</v>
      </c>
      <c r="F141" s="1" t="s">
        <v>37</v>
      </c>
      <c r="G141" s="1" t="s">
        <v>38</v>
      </c>
      <c r="H141" s="1" t="s">
        <v>22</v>
      </c>
      <c r="I141" s="1" t="s">
        <v>23</v>
      </c>
      <c r="J141" s="1">
        <v>5</v>
      </c>
      <c r="K141" s="27">
        <v>850</v>
      </c>
      <c r="L141" s="27">
        <v>0.1</v>
      </c>
      <c r="M141" s="1" t="s">
        <v>93</v>
      </c>
      <c r="N141" s="1" t="s">
        <v>25</v>
      </c>
      <c r="O141" t="str">
        <f t="shared" si="8"/>
        <v>Jan</v>
      </c>
      <c r="P141" t="str">
        <f t="shared" si="9"/>
        <v>2026</v>
      </c>
      <c r="Q141" s="25">
        <f t="shared" si="10"/>
        <v>900</v>
      </c>
      <c r="R141" s="29">
        <f t="shared" si="11"/>
        <v>4050</v>
      </c>
    </row>
    <row r="142" spans="1:18" x14ac:dyDescent="0.25">
      <c r="A142" s="5" t="s">
        <v>337</v>
      </c>
      <c r="B142" s="3" t="s">
        <v>235</v>
      </c>
      <c r="C142" s="1" t="s">
        <v>65</v>
      </c>
      <c r="D142" s="1" t="s">
        <v>36</v>
      </c>
      <c r="E142" s="1">
        <v>21</v>
      </c>
      <c r="F142" s="1" t="s">
        <v>88</v>
      </c>
      <c r="G142" s="1" t="s">
        <v>89</v>
      </c>
      <c r="H142" s="1" t="s">
        <v>79</v>
      </c>
      <c r="I142" s="1" t="s">
        <v>23</v>
      </c>
      <c r="J142" s="1">
        <v>10</v>
      </c>
      <c r="K142" s="27">
        <v>500</v>
      </c>
      <c r="L142" s="27">
        <v>0.15</v>
      </c>
      <c r="M142" s="1" t="s">
        <v>58</v>
      </c>
      <c r="N142" s="1" t="s">
        <v>32</v>
      </c>
      <c r="O142" t="str">
        <f t="shared" si="8"/>
        <v>May</v>
      </c>
      <c r="P142" t="str">
        <f t="shared" si="9"/>
        <v>2026</v>
      </c>
      <c r="Q142" s="25">
        <f t="shared" si="10"/>
        <v>550</v>
      </c>
      <c r="R142" s="29">
        <f t="shared" si="11"/>
        <v>4675</v>
      </c>
    </row>
    <row r="143" spans="1:18" x14ac:dyDescent="0.25">
      <c r="A143" s="5" t="s">
        <v>338</v>
      </c>
      <c r="B143" s="3" t="s">
        <v>339</v>
      </c>
      <c r="C143" s="1" t="s">
        <v>149</v>
      </c>
      <c r="D143" s="1" t="s">
        <v>19</v>
      </c>
      <c r="E143" s="1">
        <v>60</v>
      </c>
      <c r="F143" s="1" t="s">
        <v>20</v>
      </c>
      <c r="G143" s="1" t="s">
        <v>21</v>
      </c>
      <c r="H143" s="1" t="s">
        <v>68</v>
      </c>
      <c r="I143" s="1" t="s">
        <v>69</v>
      </c>
      <c r="J143" s="1">
        <v>3</v>
      </c>
      <c r="K143" s="27">
        <v>2</v>
      </c>
      <c r="L143" s="27">
        <v>0.15</v>
      </c>
      <c r="M143" s="1" t="s">
        <v>45</v>
      </c>
      <c r="N143" s="1" t="s">
        <v>32</v>
      </c>
      <c r="O143" t="str">
        <f t="shared" si="8"/>
        <v>May</v>
      </c>
      <c r="P143" t="str">
        <f t="shared" si="9"/>
        <v>2026</v>
      </c>
      <c r="Q143" s="25">
        <f t="shared" si="10"/>
        <v>52</v>
      </c>
      <c r="R143" s="29">
        <f t="shared" si="11"/>
        <v>132.6</v>
      </c>
    </row>
    <row r="144" spans="1:18" x14ac:dyDescent="0.25">
      <c r="A144" s="5" t="s">
        <v>340</v>
      </c>
      <c r="B144" s="3" t="s">
        <v>341</v>
      </c>
      <c r="C144" s="1" t="s">
        <v>240</v>
      </c>
      <c r="D144" s="1" t="s">
        <v>19</v>
      </c>
      <c r="E144" s="1">
        <v>21</v>
      </c>
      <c r="F144" s="1" t="s">
        <v>29</v>
      </c>
      <c r="G144" s="1" t="s">
        <v>30</v>
      </c>
      <c r="H144" s="1" t="s">
        <v>49</v>
      </c>
      <c r="I144" s="1" t="s">
        <v>50</v>
      </c>
      <c r="J144" s="1">
        <v>9</v>
      </c>
      <c r="K144" s="27">
        <v>120</v>
      </c>
      <c r="L144" s="27">
        <v>0.15</v>
      </c>
      <c r="M144" s="1" t="s">
        <v>93</v>
      </c>
      <c r="N144" s="1" t="s">
        <v>51</v>
      </c>
      <c r="O144" t="str">
        <f t="shared" si="8"/>
        <v>Feb</v>
      </c>
      <c r="P144" t="str">
        <f t="shared" si="9"/>
        <v>2026</v>
      </c>
      <c r="Q144" s="25">
        <f t="shared" si="10"/>
        <v>170</v>
      </c>
      <c r="R144" s="29">
        <f t="shared" si="11"/>
        <v>1300.5</v>
      </c>
    </row>
    <row r="145" spans="1:18" x14ac:dyDescent="0.25">
      <c r="A145" s="5" t="s">
        <v>342</v>
      </c>
      <c r="B145" s="3" t="s">
        <v>77</v>
      </c>
      <c r="C145" s="1" t="s">
        <v>266</v>
      </c>
      <c r="D145" s="1" t="s">
        <v>19</v>
      </c>
      <c r="E145" s="1">
        <v>23</v>
      </c>
      <c r="F145" s="1" t="s">
        <v>29</v>
      </c>
      <c r="G145" s="1" t="s">
        <v>30</v>
      </c>
      <c r="H145" s="1" t="s">
        <v>79</v>
      </c>
      <c r="I145" s="1" t="s">
        <v>23</v>
      </c>
      <c r="J145" s="1">
        <v>7</v>
      </c>
      <c r="K145" s="27">
        <v>500</v>
      </c>
      <c r="L145" s="27">
        <v>0</v>
      </c>
      <c r="M145" s="1" t="s">
        <v>58</v>
      </c>
      <c r="N145" s="1" t="s">
        <v>51</v>
      </c>
      <c r="O145" t="str">
        <f t="shared" si="8"/>
        <v>Mar</v>
      </c>
      <c r="P145" t="str">
        <f t="shared" si="9"/>
        <v>2026</v>
      </c>
      <c r="Q145" s="25">
        <f t="shared" si="10"/>
        <v>550</v>
      </c>
      <c r="R145" s="29">
        <f t="shared" si="11"/>
        <v>3850</v>
      </c>
    </row>
    <row r="146" spans="1:18" x14ac:dyDescent="0.25">
      <c r="A146" s="5" t="s">
        <v>343</v>
      </c>
      <c r="B146" s="3" t="s">
        <v>344</v>
      </c>
      <c r="C146" s="1" t="s">
        <v>243</v>
      </c>
      <c r="D146" s="1" t="s">
        <v>36</v>
      </c>
      <c r="E146" s="1">
        <v>31</v>
      </c>
      <c r="F146" s="1" t="s">
        <v>88</v>
      </c>
      <c r="G146" s="1" t="s">
        <v>89</v>
      </c>
      <c r="H146" s="1" t="s">
        <v>118</v>
      </c>
      <c r="I146" s="1" t="s">
        <v>23</v>
      </c>
      <c r="J146" s="1">
        <v>6</v>
      </c>
      <c r="K146" s="27">
        <v>180</v>
      </c>
      <c r="L146" s="27">
        <v>0.05</v>
      </c>
      <c r="M146" s="1" t="s">
        <v>24</v>
      </c>
      <c r="N146" s="1" t="s">
        <v>25</v>
      </c>
      <c r="O146" t="str">
        <f t="shared" si="8"/>
        <v>Mar</v>
      </c>
      <c r="P146" t="str">
        <f t="shared" si="9"/>
        <v>2026</v>
      </c>
      <c r="Q146" s="25">
        <f t="shared" si="10"/>
        <v>230</v>
      </c>
      <c r="R146" s="29">
        <f t="shared" si="11"/>
        <v>1311</v>
      </c>
    </row>
    <row r="147" spans="1:18" x14ac:dyDescent="0.25">
      <c r="A147" s="5" t="s">
        <v>345</v>
      </c>
      <c r="B147" s="3" t="s">
        <v>346</v>
      </c>
      <c r="C147" s="1" t="s">
        <v>87</v>
      </c>
      <c r="D147" s="1" t="s">
        <v>19</v>
      </c>
      <c r="E147" s="1">
        <v>52</v>
      </c>
      <c r="F147" s="1" t="s">
        <v>29</v>
      </c>
      <c r="G147" s="1" t="s">
        <v>30</v>
      </c>
      <c r="H147" s="1" t="s">
        <v>22</v>
      </c>
      <c r="I147" s="1" t="s">
        <v>23</v>
      </c>
      <c r="J147" s="1">
        <v>5</v>
      </c>
      <c r="K147" s="27">
        <v>850</v>
      </c>
      <c r="L147" s="27">
        <v>0</v>
      </c>
      <c r="M147" s="1" t="s">
        <v>39</v>
      </c>
      <c r="N147" s="1" t="s">
        <v>32</v>
      </c>
      <c r="O147" t="str">
        <f t="shared" si="8"/>
        <v>May</v>
      </c>
      <c r="P147" t="str">
        <f t="shared" si="9"/>
        <v>2026</v>
      </c>
      <c r="Q147" s="25">
        <f t="shared" si="10"/>
        <v>900</v>
      </c>
      <c r="R147" s="29">
        <f t="shared" si="11"/>
        <v>4500</v>
      </c>
    </row>
    <row r="148" spans="1:18" x14ac:dyDescent="0.25">
      <c r="A148" s="5" t="s">
        <v>347</v>
      </c>
      <c r="B148" s="3" t="s">
        <v>101</v>
      </c>
      <c r="C148" s="1" t="s">
        <v>92</v>
      </c>
      <c r="D148" s="1" t="s">
        <v>36</v>
      </c>
      <c r="E148" s="1">
        <v>24</v>
      </c>
      <c r="F148" s="1" t="s">
        <v>29</v>
      </c>
      <c r="G148" s="1" t="s">
        <v>30</v>
      </c>
      <c r="H148" s="1" t="s">
        <v>73</v>
      </c>
      <c r="I148" s="1" t="s">
        <v>69</v>
      </c>
      <c r="J148" s="1">
        <v>4</v>
      </c>
      <c r="K148" s="27">
        <v>5</v>
      </c>
      <c r="L148" s="27">
        <v>0.05</v>
      </c>
      <c r="M148" s="1" t="s">
        <v>58</v>
      </c>
      <c r="N148" s="1" t="s">
        <v>51</v>
      </c>
      <c r="O148" t="str">
        <f t="shared" si="8"/>
        <v>May</v>
      </c>
      <c r="P148" t="str">
        <f t="shared" si="9"/>
        <v>2026</v>
      </c>
      <c r="Q148" s="25">
        <f t="shared" si="10"/>
        <v>55</v>
      </c>
      <c r="R148" s="29">
        <f t="shared" si="11"/>
        <v>209</v>
      </c>
    </row>
    <row r="149" spans="1:18" x14ac:dyDescent="0.25">
      <c r="A149" s="5" t="s">
        <v>348</v>
      </c>
      <c r="B149" s="3" t="s">
        <v>349</v>
      </c>
      <c r="C149" s="1" t="s">
        <v>350</v>
      </c>
      <c r="D149" s="1" t="s">
        <v>19</v>
      </c>
      <c r="E149" s="1">
        <v>33</v>
      </c>
      <c r="F149" s="1" t="s">
        <v>37</v>
      </c>
      <c r="G149" s="1" t="s">
        <v>38</v>
      </c>
      <c r="H149" s="1" t="s">
        <v>109</v>
      </c>
      <c r="I149" s="1" t="s">
        <v>50</v>
      </c>
      <c r="J149" s="1">
        <v>8</v>
      </c>
      <c r="K149" s="27">
        <v>80</v>
      </c>
      <c r="L149" s="27">
        <v>0.05</v>
      </c>
      <c r="M149" s="1" t="s">
        <v>39</v>
      </c>
      <c r="N149" s="1" t="s">
        <v>55</v>
      </c>
      <c r="O149" t="str">
        <f t="shared" si="8"/>
        <v>May</v>
      </c>
      <c r="P149" t="str">
        <f t="shared" si="9"/>
        <v>2026</v>
      </c>
      <c r="Q149" s="25">
        <f t="shared" si="10"/>
        <v>130</v>
      </c>
      <c r="R149" s="29">
        <f t="shared" si="11"/>
        <v>988</v>
      </c>
    </row>
    <row r="150" spans="1:18" x14ac:dyDescent="0.25">
      <c r="A150" s="5" t="s">
        <v>351</v>
      </c>
      <c r="B150" s="3" t="s">
        <v>230</v>
      </c>
      <c r="C150" s="1" t="s">
        <v>318</v>
      </c>
      <c r="D150" s="1" t="s">
        <v>19</v>
      </c>
      <c r="E150" s="1">
        <v>34</v>
      </c>
      <c r="F150" s="1" t="s">
        <v>37</v>
      </c>
      <c r="G150" s="1" t="s">
        <v>38</v>
      </c>
      <c r="H150" s="1" t="s">
        <v>49</v>
      </c>
      <c r="I150" s="1" t="s">
        <v>50</v>
      </c>
      <c r="J150" s="1">
        <v>2</v>
      </c>
      <c r="K150" s="27">
        <v>120</v>
      </c>
      <c r="L150" s="27">
        <v>0.05</v>
      </c>
      <c r="M150" s="1" t="s">
        <v>93</v>
      </c>
      <c r="N150" s="1" t="s">
        <v>25</v>
      </c>
      <c r="O150" t="str">
        <f t="shared" si="8"/>
        <v>Jan</v>
      </c>
      <c r="P150" t="str">
        <f t="shared" si="9"/>
        <v>2026</v>
      </c>
      <c r="Q150" s="25">
        <f t="shared" si="10"/>
        <v>170</v>
      </c>
      <c r="R150" s="29">
        <f t="shared" si="11"/>
        <v>323</v>
      </c>
    </row>
    <row r="151" spans="1:18" x14ac:dyDescent="0.25">
      <c r="A151" s="5" t="s">
        <v>352</v>
      </c>
      <c r="B151" s="3" t="s">
        <v>167</v>
      </c>
      <c r="C151" s="1" t="s">
        <v>96</v>
      </c>
      <c r="D151" s="1" t="s">
        <v>36</v>
      </c>
      <c r="E151" s="1">
        <v>43</v>
      </c>
      <c r="F151" s="1" t="s">
        <v>88</v>
      </c>
      <c r="G151" s="1" t="s">
        <v>89</v>
      </c>
      <c r="H151" s="1" t="s">
        <v>73</v>
      </c>
      <c r="I151" s="1" t="s">
        <v>69</v>
      </c>
      <c r="J151" s="1">
        <v>7</v>
      </c>
      <c r="K151" s="27">
        <v>5</v>
      </c>
      <c r="L151" s="27">
        <v>0.15</v>
      </c>
      <c r="M151" s="1" t="s">
        <v>58</v>
      </c>
      <c r="N151" s="1" t="s">
        <v>55</v>
      </c>
      <c r="O151" t="str">
        <f t="shared" si="8"/>
        <v>Feb</v>
      </c>
      <c r="P151" t="str">
        <f t="shared" si="9"/>
        <v>2026</v>
      </c>
      <c r="Q151" s="25">
        <f t="shared" si="10"/>
        <v>55</v>
      </c>
      <c r="R151" s="29">
        <f t="shared" si="11"/>
        <v>327.25</v>
      </c>
    </row>
    <row r="152" spans="1:18" x14ac:dyDescent="0.25">
      <c r="A152" s="5" t="s">
        <v>353</v>
      </c>
      <c r="B152" s="3" t="s">
        <v>354</v>
      </c>
      <c r="C152" s="1" t="s">
        <v>145</v>
      </c>
      <c r="D152" s="1" t="s">
        <v>19</v>
      </c>
      <c r="E152" s="1">
        <v>20</v>
      </c>
      <c r="F152" s="1" t="s">
        <v>88</v>
      </c>
      <c r="G152" s="1" t="s">
        <v>89</v>
      </c>
      <c r="H152" s="1" t="s">
        <v>22</v>
      </c>
      <c r="I152" s="1" t="s">
        <v>23</v>
      </c>
      <c r="J152" s="1">
        <v>2</v>
      </c>
      <c r="K152" s="27">
        <v>850</v>
      </c>
      <c r="L152" s="27">
        <v>0.1</v>
      </c>
      <c r="M152" s="1" t="s">
        <v>58</v>
      </c>
      <c r="N152" s="1" t="s">
        <v>51</v>
      </c>
      <c r="O152" t="str">
        <f t="shared" si="8"/>
        <v>Apr</v>
      </c>
      <c r="P152" t="str">
        <f t="shared" si="9"/>
        <v>2026</v>
      </c>
      <c r="Q152" s="25">
        <f t="shared" si="10"/>
        <v>900</v>
      </c>
      <c r="R152" s="29">
        <f t="shared" si="11"/>
        <v>1620</v>
      </c>
    </row>
    <row r="153" spans="1:18" x14ac:dyDescent="0.25">
      <c r="A153" s="5" t="s">
        <v>355</v>
      </c>
      <c r="B153" s="3" t="s">
        <v>356</v>
      </c>
      <c r="C153" s="1" t="s">
        <v>35</v>
      </c>
      <c r="D153" s="1" t="s">
        <v>36</v>
      </c>
      <c r="E153" s="1">
        <v>34</v>
      </c>
      <c r="F153" s="1" t="s">
        <v>43</v>
      </c>
      <c r="G153" s="1" t="s">
        <v>44</v>
      </c>
      <c r="H153" s="1" t="s">
        <v>109</v>
      </c>
      <c r="I153" s="1" t="s">
        <v>50</v>
      </c>
      <c r="J153" s="1">
        <v>2</v>
      </c>
      <c r="K153" s="27">
        <v>80</v>
      </c>
      <c r="L153" s="27">
        <v>0.05</v>
      </c>
      <c r="M153" s="1" t="s">
        <v>93</v>
      </c>
      <c r="N153" s="1" t="s">
        <v>32</v>
      </c>
      <c r="O153" t="str">
        <f t="shared" si="8"/>
        <v>Apr</v>
      </c>
      <c r="P153" t="str">
        <f t="shared" si="9"/>
        <v>2026</v>
      </c>
      <c r="Q153" s="25">
        <f t="shared" si="10"/>
        <v>130</v>
      </c>
      <c r="R153" s="29">
        <f t="shared" si="11"/>
        <v>247</v>
      </c>
    </row>
    <row r="154" spans="1:18" x14ac:dyDescent="0.25">
      <c r="A154" s="5" t="s">
        <v>357</v>
      </c>
      <c r="B154" s="3" t="s">
        <v>219</v>
      </c>
      <c r="C154" s="1" t="s">
        <v>180</v>
      </c>
      <c r="D154" s="1" t="s">
        <v>36</v>
      </c>
      <c r="E154" s="1">
        <v>20</v>
      </c>
      <c r="F154" s="1" t="s">
        <v>37</v>
      </c>
      <c r="G154" s="1" t="s">
        <v>38</v>
      </c>
      <c r="H154" s="1" t="s">
        <v>109</v>
      </c>
      <c r="I154" s="1" t="s">
        <v>50</v>
      </c>
      <c r="J154" s="1">
        <v>1</v>
      </c>
      <c r="K154" s="27">
        <v>80</v>
      </c>
      <c r="L154" s="27">
        <v>0</v>
      </c>
      <c r="M154" s="1" t="s">
        <v>58</v>
      </c>
      <c r="N154" s="1" t="s">
        <v>55</v>
      </c>
      <c r="O154" t="str">
        <f t="shared" si="8"/>
        <v>Jan</v>
      </c>
      <c r="P154" t="str">
        <f t="shared" si="9"/>
        <v>2026</v>
      </c>
      <c r="Q154" s="25">
        <f t="shared" si="10"/>
        <v>130</v>
      </c>
      <c r="R154" s="29">
        <f t="shared" si="11"/>
        <v>130</v>
      </c>
    </row>
    <row r="155" spans="1:18" x14ac:dyDescent="0.25">
      <c r="A155" s="5" t="s">
        <v>358</v>
      </c>
      <c r="B155" s="3" t="s">
        <v>142</v>
      </c>
      <c r="C155" s="1" t="s">
        <v>82</v>
      </c>
      <c r="D155" s="1" t="s">
        <v>36</v>
      </c>
      <c r="E155" s="1">
        <v>33</v>
      </c>
      <c r="F155" s="1" t="s">
        <v>29</v>
      </c>
      <c r="G155" s="1" t="s">
        <v>30</v>
      </c>
      <c r="H155" s="1" t="s">
        <v>109</v>
      </c>
      <c r="I155" s="1" t="s">
        <v>50</v>
      </c>
      <c r="J155" s="1">
        <v>8</v>
      </c>
      <c r="K155" s="27">
        <v>80</v>
      </c>
      <c r="L155" s="27">
        <v>0.05</v>
      </c>
      <c r="M155" s="1" t="s">
        <v>93</v>
      </c>
      <c r="N155" s="1" t="s">
        <v>55</v>
      </c>
      <c r="O155" t="str">
        <f t="shared" si="8"/>
        <v>May</v>
      </c>
      <c r="P155" t="str">
        <f t="shared" si="9"/>
        <v>2026</v>
      </c>
      <c r="Q155" s="25">
        <f t="shared" si="10"/>
        <v>130</v>
      </c>
      <c r="R155" s="29">
        <f t="shared" si="11"/>
        <v>988</v>
      </c>
    </row>
    <row r="156" spans="1:18" x14ac:dyDescent="0.25">
      <c r="A156" s="5" t="s">
        <v>359</v>
      </c>
      <c r="B156" s="3" t="s">
        <v>341</v>
      </c>
      <c r="C156" s="1" t="s">
        <v>303</v>
      </c>
      <c r="D156" s="1" t="s">
        <v>19</v>
      </c>
      <c r="E156" s="1">
        <v>60</v>
      </c>
      <c r="F156" s="1" t="s">
        <v>43</v>
      </c>
      <c r="G156" s="1" t="s">
        <v>44</v>
      </c>
      <c r="H156" s="1" t="s">
        <v>109</v>
      </c>
      <c r="I156" s="1" t="s">
        <v>50</v>
      </c>
      <c r="J156" s="1">
        <v>10</v>
      </c>
      <c r="K156" s="27">
        <v>80</v>
      </c>
      <c r="L156" s="27">
        <v>0</v>
      </c>
      <c r="M156" s="1" t="s">
        <v>31</v>
      </c>
      <c r="N156" s="1" t="s">
        <v>32</v>
      </c>
      <c r="O156" t="str">
        <f t="shared" si="8"/>
        <v>Feb</v>
      </c>
      <c r="P156" t="str">
        <f t="shared" si="9"/>
        <v>2026</v>
      </c>
      <c r="Q156" s="25">
        <f t="shared" si="10"/>
        <v>130</v>
      </c>
      <c r="R156" s="29">
        <f t="shared" si="11"/>
        <v>1300</v>
      </c>
    </row>
    <row r="157" spans="1:18" x14ac:dyDescent="0.25">
      <c r="A157" s="5" t="s">
        <v>360</v>
      </c>
      <c r="B157" s="3" t="s">
        <v>135</v>
      </c>
      <c r="C157" s="1" t="s">
        <v>136</v>
      </c>
      <c r="D157" s="1" t="s">
        <v>36</v>
      </c>
      <c r="E157" s="1">
        <v>42</v>
      </c>
      <c r="F157" s="1" t="s">
        <v>29</v>
      </c>
      <c r="G157" s="1" t="s">
        <v>30</v>
      </c>
      <c r="H157" s="1" t="s">
        <v>22</v>
      </c>
      <c r="I157" s="1" t="s">
        <v>23</v>
      </c>
      <c r="J157" s="1">
        <v>9</v>
      </c>
      <c r="K157" s="27">
        <v>850</v>
      </c>
      <c r="L157" s="27">
        <v>0.05</v>
      </c>
      <c r="M157" s="1" t="s">
        <v>39</v>
      </c>
      <c r="N157" s="1" t="s">
        <v>51</v>
      </c>
      <c r="O157" t="str">
        <f t="shared" si="8"/>
        <v>May</v>
      </c>
      <c r="P157" t="str">
        <f t="shared" si="9"/>
        <v>2026</v>
      </c>
      <c r="Q157" s="25">
        <f t="shared" si="10"/>
        <v>900</v>
      </c>
      <c r="R157" s="29">
        <f t="shared" si="11"/>
        <v>7695</v>
      </c>
    </row>
    <row r="158" spans="1:18" x14ac:dyDescent="0.25">
      <c r="A158" s="5" t="s">
        <v>361</v>
      </c>
      <c r="B158" s="3" t="s">
        <v>284</v>
      </c>
      <c r="C158" s="1" t="s">
        <v>256</v>
      </c>
      <c r="D158" s="1" t="s">
        <v>19</v>
      </c>
      <c r="E158" s="1">
        <v>42</v>
      </c>
      <c r="F158" s="1" t="s">
        <v>29</v>
      </c>
      <c r="G158" s="1" t="s">
        <v>30</v>
      </c>
      <c r="H158" s="1" t="s">
        <v>62</v>
      </c>
      <c r="I158" s="1" t="s">
        <v>23</v>
      </c>
      <c r="J158" s="1">
        <v>1</v>
      </c>
      <c r="K158" s="27">
        <v>15</v>
      </c>
      <c r="L158" s="27">
        <v>0</v>
      </c>
      <c r="M158" s="1" t="s">
        <v>93</v>
      </c>
      <c r="N158" s="1" t="s">
        <v>51</v>
      </c>
      <c r="O158" t="str">
        <f t="shared" si="8"/>
        <v>Feb</v>
      </c>
      <c r="P158" t="str">
        <f t="shared" si="9"/>
        <v>2026</v>
      </c>
      <c r="Q158" s="25">
        <f t="shared" si="10"/>
        <v>65</v>
      </c>
      <c r="R158" s="29">
        <f t="shared" si="11"/>
        <v>65</v>
      </c>
    </row>
    <row r="159" spans="1:18" x14ac:dyDescent="0.25">
      <c r="A159" s="5" t="s">
        <v>362</v>
      </c>
      <c r="B159" s="3" t="s">
        <v>363</v>
      </c>
      <c r="C159" s="1" t="s">
        <v>318</v>
      </c>
      <c r="D159" s="1" t="s">
        <v>19</v>
      </c>
      <c r="E159" s="1">
        <v>54</v>
      </c>
      <c r="F159" s="1" t="s">
        <v>88</v>
      </c>
      <c r="G159" s="1" t="s">
        <v>89</v>
      </c>
      <c r="H159" s="1" t="s">
        <v>73</v>
      </c>
      <c r="I159" s="1" t="s">
        <v>69</v>
      </c>
      <c r="J159" s="1">
        <v>3</v>
      </c>
      <c r="K159" s="27">
        <v>5</v>
      </c>
      <c r="L159" s="27">
        <v>0.05</v>
      </c>
      <c r="M159" s="1" t="s">
        <v>24</v>
      </c>
      <c r="N159" s="1" t="s">
        <v>32</v>
      </c>
      <c r="O159" t="str">
        <f t="shared" si="8"/>
        <v>Jan</v>
      </c>
      <c r="P159" t="str">
        <f t="shared" si="9"/>
        <v>2026</v>
      </c>
      <c r="Q159" s="25">
        <f t="shared" si="10"/>
        <v>55</v>
      </c>
      <c r="R159" s="29">
        <f t="shared" si="11"/>
        <v>156.75</v>
      </c>
    </row>
    <row r="160" spans="1:18" x14ac:dyDescent="0.25">
      <c r="A160" s="5" t="s">
        <v>364</v>
      </c>
      <c r="B160" s="3" t="s">
        <v>365</v>
      </c>
      <c r="C160" s="1" t="s">
        <v>96</v>
      </c>
      <c r="D160" s="1" t="s">
        <v>19</v>
      </c>
      <c r="E160" s="1">
        <v>46</v>
      </c>
      <c r="F160" s="1" t="s">
        <v>29</v>
      </c>
      <c r="G160" s="1" t="s">
        <v>30</v>
      </c>
      <c r="H160" s="1" t="s">
        <v>62</v>
      </c>
      <c r="I160" s="1" t="s">
        <v>23</v>
      </c>
      <c r="J160" s="1">
        <v>6</v>
      </c>
      <c r="K160" s="27">
        <v>15</v>
      </c>
      <c r="L160" s="27">
        <v>0.05</v>
      </c>
      <c r="M160" s="1" t="s">
        <v>45</v>
      </c>
      <c r="N160" s="1" t="s">
        <v>32</v>
      </c>
      <c r="O160" t="str">
        <f t="shared" si="8"/>
        <v>Mar</v>
      </c>
      <c r="P160" t="str">
        <f t="shared" si="9"/>
        <v>2026</v>
      </c>
      <c r="Q160" s="25">
        <f t="shared" si="10"/>
        <v>65</v>
      </c>
      <c r="R160" s="29">
        <f t="shared" si="11"/>
        <v>370.5</v>
      </c>
    </row>
    <row r="161" spans="1:18" x14ac:dyDescent="0.25">
      <c r="A161" s="5" t="s">
        <v>366</v>
      </c>
      <c r="B161" s="3" t="s">
        <v>255</v>
      </c>
      <c r="C161" s="1" t="s">
        <v>105</v>
      </c>
      <c r="D161" s="1" t="s">
        <v>36</v>
      </c>
      <c r="E161" s="1">
        <v>47</v>
      </c>
      <c r="F161" s="1" t="s">
        <v>88</v>
      </c>
      <c r="G161" s="1" t="s">
        <v>89</v>
      </c>
      <c r="H161" s="1" t="s">
        <v>68</v>
      </c>
      <c r="I161" s="1" t="s">
        <v>69</v>
      </c>
      <c r="J161" s="1">
        <v>6</v>
      </c>
      <c r="K161" s="27">
        <v>2</v>
      </c>
      <c r="L161" s="27">
        <v>0.15</v>
      </c>
      <c r="M161" s="1" t="s">
        <v>58</v>
      </c>
      <c r="N161" s="1" t="s">
        <v>32</v>
      </c>
      <c r="O161" t="str">
        <f t="shared" si="8"/>
        <v>Jan</v>
      </c>
      <c r="P161" t="str">
        <f t="shared" si="9"/>
        <v>2026</v>
      </c>
      <c r="Q161" s="25">
        <f t="shared" si="10"/>
        <v>52</v>
      </c>
      <c r="R161" s="29">
        <f t="shared" si="11"/>
        <v>265.2</v>
      </c>
    </row>
    <row r="162" spans="1:18" x14ac:dyDescent="0.25">
      <c r="A162" s="5" t="s">
        <v>367</v>
      </c>
      <c r="B162" s="3" t="s">
        <v>368</v>
      </c>
      <c r="C162" s="1" t="s">
        <v>233</v>
      </c>
      <c r="D162" s="1" t="s">
        <v>36</v>
      </c>
      <c r="E162" s="1">
        <v>26</v>
      </c>
      <c r="F162" s="1" t="s">
        <v>43</v>
      </c>
      <c r="G162" s="1" t="s">
        <v>44</v>
      </c>
      <c r="H162" s="1" t="s">
        <v>73</v>
      </c>
      <c r="I162" s="1" t="s">
        <v>69</v>
      </c>
      <c r="J162" s="1">
        <v>10</v>
      </c>
      <c r="K162" s="27">
        <v>5</v>
      </c>
      <c r="L162" s="27">
        <v>0</v>
      </c>
      <c r="M162" s="1" t="s">
        <v>45</v>
      </c>
      <c r="N162" s="1" t="s">
        <v>55</v>
      </c>
      <c r="O162" t="str">
        <f t="shared" si="8"/>
        <v>Apr</v>
      </c>
      <c r="P162" t="str">
        <f t="shared" si="9"/>
        <v>2026</v>
      </c>
      <c r="Q162" s="25">
        <f t="shared" si="10"/>
        <v>55</v>
      </c>
      <c r="R162" s="29">
        <f t="shared" si="11"/>
        <v>550</v>
      </c>
    </row>
    <row r="163" spans="1:18" x14ac:dyDescent="0.25">
      <c r="A163" s="5" t="s">
        <v>369</v>
      </c>
      <c r="B163" s="3" t="s">
        <v>174</v>
      </c>
      <c r="C163" s="1" t="s">
        <v>294</v>
      </c>
      <c r="D163" s="1" t="s">
        <v>19</v>
      </c>
      <c r="E163" s="1">
        <v>32</v>
      </c>
      <c r="F163" s="1" t="s">
        <v>43</v>
      </c>
      <c r="G163" s="1" t="s">
        <v>44</v>
      </c>
      <c r="H163" s="1" t="s">
        <v>62</v>
      </c>
      <c r="I163" s="1" t="s">
        <v>23</v>
      </c>
      <c r="J163" s="1">
        <v>4</v>
      </c>
      <c r="K163" s="27">
        <v>15</v>
      </c>
      <c r="L163" s="27">
        <v>0</v>
      </c>
      <c r="M163" s="1" t="s">
        <v>24</v>
      </c>
      <c r="N163" s="1" t="s">
        <v>55</v>
      </c>
      <c r="O163" t="str">
        <f t="shared" si="8"/>
        <v>May</v>
      </c>
      <c r="P163" t="str">
        <f t="shared" si="9"/>
        <v>2026</v>
      </c>
      <c r="Q163" s="25">
        <f t="shared" si="10"/>
        <v>65</v>
      </c>
      <c r="R163" s="29">
        <f t="shared" si="11"/>
        <v>260</v>
      </c>
    </row>
    <row r="164" spans="1:18" x14ac:dyDescent="0.25">
      <c r="A164" s="5" t="s">
        <v>370</v>
      </c>
      <c r="B164" s="3" t="s">
        <v>371</v>
      </c>
      <c r="C164" s="1" t="s">
        <v>223</v>
      </c>
      <c r="D164" s="1" t="s">
        <v>19</v>
      </c>
      <c r="E164" s="1">
        <v>18</v>
      </c>
      <c r="F164" s="1" t="s">
        <v>37</v>
      </c>
      <c r="G164" s="1" t="s">
        <v>38</v>
      </c>
      <c r="H164" s="1" t="s">
        <v>73</v>
      </c>
      <c r="I164" s="1" t="s">
        <v>69</v>
      </c>
      <c r="J164" s="1">
        <v>2</v>
      </c>
      <c r="K164" s="27">
        <v>5</v>
      </c>
      <c r="L164" s="27">
        <v>0.1</v>
      </c>
      <c r="M164" s="1" t="s">
        <v>93</v>
      </c>
      <c r="N164" s="1" t="s">
        <v>51</v>
      </c>
      <c r="O164" t="str">
        <f t="shared" si="8"/>
        <v>Feb</v>
      </c>
      <c r="P164" t="str">
        <f t="shared" si="9"/>
        <v>2026</v>
      </c>
      <c r="Q164" s="25">
        <f t="shared" si="10"/>
        <v>55</v>
      </c>
      <c r="R164" s="29">
        <f t="shared" si="11"/>
        <v>99</v>
      </c>
    </row>
    <row r="165" spans="1:18" x14ac:dyDescent="0.25">
      <c r="A165" s="5" t="s">
        <v>372</v>
      </c>
      <c r="B165" s="3" t="s">
        <v>373</v>
      </c>
      <c r="C165" s="1" t="s">
        <v>61</v>
      </c>
      <c r="D165" s="1" t="s">
        <v>36</v>
      </c>
      <c r="E165" s="1">
        <v>33</v>
      </c>
      <c r="F165" s="1" t="s">
        <v>88</v>
      </c>
      <c r="G165" s="1" t="s">
        <v>89</v>
      </c>
      <c r="H165" s="1" t="s">
        <v>49</v>
      </c>
      <c r="I165" s="1" t="s">
        <v>50</v>
      </c>
      <c r="J165" s="1">
        <v>9</v>
      </c>
      <c r="K165" s="27">
        <v>120</v>
      </c>
      <c r="L165" s="27">
        <v>0</v>
      </c>
      <c r="M165" s="1" t="s">
        <v>31</v>
      </c>
      <c r="N165" s="1" t="s">
        <v>25</v>
      </c>
      <c r="O165" t="str">
        <f t="shared" si="8"/>
        <v>Mar</v>
      </c>
      <c r="P165" t="str">
        <f t="shared" si="9"/>
        <v>2026</v>
      </c>
      <c r="Q165" s="25">
        <f t="shared" si="10"/>
        <v>170</v>
      </c>
      <c r="R165" s="29">
        <f t="shared" si="11"/>
        <v>1530</v>
      </c>
    </row>
    <row r="166" spans="1:18" x14ac:dyDescent="0.25">
      <c r="A166" s="5" t="s">
        <v>374</v>
      </c>
      <c r="B166" s="3" t="s">
        <v>375</v>
      </c>
      <c r="C166" s="1" t="s">
        <v>266</v>
      </c>
      <c r="D166" s="1" t="s">
        <v>19</v>
      </c>
      <c r="E166" s="1">
        <v>52</v>
      </c>
      <c r="F166" s="1" t="s">
        <v>20</v>
      </c>
      <c r="G166" s="1" t="s">
        <v>21</v>
      </c>
      <c r="H166" s="1" t="s">
        <v>118</v>
      </c>
      <c r="I166" s="1" t="s">
        <v>23</v>
      </c>
      <c r="J166" s="1">
        <v>3</v>
      </c>
      <c r="K166" s="27">
        <v>180</v>
      </c>
      <c r="L166" s="27">
        <v>0.05</v>
      </c>
      <c r="M166" s="1" t="s">
        <v>58</v>
      </c>
      <c r="N166" s="1" t="s">
        <v>55</v>
      </c>
      <c r="O166" t="str">
        <f t="shared" si="8"/>
        <v>Apr</v>
      </c>
      <c r="P166" t="str">
        <f t="shared" si="9"/>
        <v>2026</v>
      </c>
      <c r="Q166" s="25">
        <f t="shared" si="10"/>
        <v>230</v>
      </c>
      <c r="R166" s="29">
        <f t="shared" si="11"/>
        <v>655.5</v>
      </c>
    </row>
    <row r="167" spans="1:18" x14ac:dyDescent="0.25">
      <c r="A167" s="5" t="s">
        <v>376</v>
      </c>
      <c r="B167" s="3" t="s">
        <v>377</v>
      </c>
      <c r="C167" s="1" t="s">
        <v>180</v>
      </c>
      <c r="D167" s="1" t="s">
        <v>36</v>
      </c>
      <c r="E167" s="1">
        <v>28</v>
      </c>
      <c r="F167" s="1" t="s">
        <v>29</v>
      </c>
      <c r="G167" s="1" t="s">
        <v>30</v>
      </c>
      <c r="H167" s="1" t="s">
        <v>22</v>
      </c>
      <c r="I167" s="1" t="s">
        <v>23</v>
      </c>
      <c r="J167" s="1">
        <v>10</v>
      </c>
      <c r="K167" s="27">
        <v>850</v>
      </c>
      <c r="L167" s="27">
        <v>0.05</v>
      </c>
      <c r="M167" s="1" t="s">
        <v>24</v>
      </c>
      <c r="N167" s="1" t="s">
        <v>55</v>
      </c>
      <c r="O167" t="str">
        <f t="shared" si="8"/>
        <v>May</v>
      </c>
      <c r="P167" t="str">
        <f t="shared" si="9"/>
        <v>2026</v>
      </c>
      <c r="Q167" s="25">
        <f t="shared" si="10"/>
        <v>900</v>
      </c>
      <c r="R167" s="29">
        <f t="shared" si="11"/>
        <v>8550</v>
      </c>
    </row>
    <row r="168" spans="1:18" x14ac:dyDescent="0.25">
      <c r="A168" s="5" t="s">
        <v>378</v>
      </c>
      <c r="B168" s="3" t="s">
        <v>379</v>
      </c>
      <c r="C168" s="1" t="s">
        <v>180</v>
      </c>
      <c r="D168" s="1" t="s">
        <v>19</v>
      </c>
      <c r="E168" s="1">
        <v>54</v>
      </c>
      <c r="F168" s="1" t="s">
        <v>29</v>
      </c>
      <c r="G168" s="1" t="s">
        <v>30</v>
      </c>
      <c r="H168" s="1" t="s">
        <v>22</v>
      </c>
      <c r="I168" s="1" t="s">
        <v>23</v>
      </c>
      <c r="J168" s="1">
        <v>8</v>
      </c>
      <c r="K168" s="27">
        <v>850</v>
      </c>
      <c r="L168" s="27">
        <v>0</v>
      </c>
      <c r="M168" s="1" t="s">
        <v>31</v>
      </c>
      <c r="N168" s="1" t="s">
        <v>25</v>
      </c>
      <c r="O168" t="str">
        <f t="shared" si="8"/>
        <v>Feb</v>
      </c>
      <c r="P168" t="str">
        <f t="shared" si="9"/>
        <v>2026</v>
      </c>
      <c r="Q168" s="25">
        <f t="shared" si="10"/>
        <v>900</v>
      </c>
      <c r="R168" s="29">
        <f t="shared" si="11"/>
        <v>7200</v>
      </c>
    </row>
    <row r="169" spans="1:18" x14ac:dyDescent="0.25">
      <c r="A169" s="5" t="s">
        <v>380</v>
      </c>
      <c r="B169" s="3" t="s">
        <v>207</v>
      </c>
      <c r="C169" s="1" t="s">
        <v>18</v>
      </c>
      <c r="D169" s="1" t="s">
        <v>36</v>
      </c>
      <c r="E169" s="1">
        <v>24</v>
      </c>
      <c r="F169" s="1" t="s">
        <v>29</v>
      </c>
      <c r="G169" s="1" t="s">
        <v>30</v>
      </c>
      <c r="H169" s="1" t="s">
        <v>68</v>
      </c>
      <c r="I169" s="1" t="s">
        <v>69</v>
      </c>
      <c r="J169" s="1">
        <v>2</v>
      </c>
      <c r="K169" s="27">
        <v>2</v>
      </c>
      <c r="L169" s="27">
        <v>0</v>
      </c>
      <c r="M169" s="1" t="s">
        <v>93</v>
      </c>
      <c r="N169" s="1" t="s">
        <v>51</v>
      </c>
      <c r="O169" t="str">
        <f t="shared" si="8"/>
        <v>Jan</v>
      </c>
      <c r="P169" t="str">
        <f t="shared" si="9"/>
        <v>2026</v>
      </c>
      <c r="Q169" s="25">
        <f t="shared" si="10"/>
        <v>52</v>
      </c>
      <c r="R169" s="29">
        <f t="shared" si="11"/>
        <v>104</v>
      </c>
    </row>
    <row r="170" spans="1:18" x14ac:dyDescent="0.25">
      <c r="A170" s="5" t="s">
        <v>381</v>
      </c>
      <c r="B170" s="3" t="s">
        <v>77</v>
      </c>
      <c r="C170" s="1" t="s">
        <v>108</v>
      </c>
      <c r="D170" s="1" t="s">
        <v>19</v>
      </c>
      <c r="E170" s="1">
        <v>31</v>
      </c>
      <c r="F170" s="1" t="s">
        <v>88</v>
      </c>
      <c r="G170" s="1" t="s">
        <v>89</v>
      </c>
      <c r="H170" s="1" t="s">
        <v>109</v>
      </c>
      <c r="I170" s="1" t="s">
        <v>50</v>
      </c>
      <c r="J170" s="1">
        <v>2</v>
      </c>
      <c r="K170" s="27">
        <v>80</v>
      </c>
      <c r="L170" s="27">
        <v>0.05</v>
      </c>
      <c r="M170" s="1" t="s">
        <v>39</v>
      </c>
      <c r="N170" s="1" t="s">
        <v>25</v>
      </c>
      <c r="O170" t="str">
        <f t="shared" si="8"/>
        <v>Mar</v>
      </c>
      <c r="P170" t="str">
        <f t="shared" si="9"/>
        <v>2026</v>
      </c>
      <c r="Q170" s="25">
        <f t="shared" si="10"/>
        <v>130</v>
      </c>
      <c r="R170" s="29">
        <f t="shared" si="11"/>
        <v>247</v>
      </c>
    </row>
    <row r="171" spans="1:18" x14ac:dyDescent="0.25">
      <c r="A171" s="5" t="s">
        <v>382</v>
      </c>
      <c r="B171" s="3" t="s">
        <v>383</v>
      </c>
      <c r="C171" s="1" t="s">
        <v>126</v>
      </c>
      <c r="D171" s="1" t="s">
        <v>19</v>
      </c>
      <c r="E171" s="1">
        <v>45</v>
      </c>
      <c r="F171" s="1" t="s">
        <v>88</v>
      </c>
      <c r="G171" s="1" t="s">
        <v>89</v>
      </c>
      <c r="H171" s="1" t="s">
        <v>79</v>
      </c>
      <c r="I171" s="1" t="s">
        <v>23</v>
      </c>
      <c r="J171" s="1">
        <v>10</v>
      </c>
      <c r="K171" s="27">
        <v>500</v>
      </c>
      <c r="L171" s="27">
        <v>0.1</v>
      </c>
      <c r="M171" s="1" t="s">
        <v>39</v>
      </c>
      <c r="N171" s="1" t="s">
        <v>51</v>
      </c>
      <c r="O171" t="str">
        <f t="shared" si="8"/>
        <v>Feb</v>
      </c>
      <c r="P171" t="str">
        <f t="shared" si="9"/>
        <v>2026</v>
      </c>
      <c r="Q171" s="25">
        <f t="shared" si="10"/>
        <v>550</v>
      </c>
      <c r="R171" s="29">
        <f t="shared" si="11"/>
        <v>4950</v>
      </c>
    </row>
    <row r="172" spans="1:18" x14ac:dyDescent="0.25">
      <c r="A172" s="5" t="s">
        <v>384</v>
      </c>
      <c r="B172" s="3" t="s">
        <v>385</v>
      </c>
      <c r="C172" s="1" t="s">
        <v>149</v>
      </c>
      <c r="D172" s="1" t="s">
        <v>19</v>
      </c>
      <c r="E172" s="1">
        <v>38</v>
      </c>
      <c r="F172" s="1" t="s">
        <v>88</v>
      </c>
      <c r="G172" s="1" t="s">
        <v>89</v>
      </c>
      <c r="H172" s="1" t="s">
        <v>79</v>
      </c>
      <c r="I172" s="1" t="s">
        <v>23</v>
      </c>
      <c r="J172" s="1">
        <v>7</v>
      </c>
      <c r="K172" s="27">
        <v>500</v>
      </c>
      <c r="L172" s="27">
        <v>0.15</v>
      </c>
      <c r="M172" s="1" t="s">
        <v>24</v>
      </c>
      <c r="N172" s="1" t="s">
        <v>32</v>
      </c>
      <c r="O172" t="str">
        <f t="shared" si="8"/>
        <v>Feb</v>
      </c>
      <c r="P172" t="str">
        <f t="shared" si="9"/>
        <v>2026</v>
      </c>
      <c r="Q172" s="25">
        <f t="shared" si="10"/>
        <v>550</v>
      </c>
      <c r="R172" s="29">
        <f t="shared" si="11"/>
        <v>3272.5</v>
      </c>
    </row>
    <row r="173" spans="1:18" x14ac:dyDescent="0.25">
      <c r="A173" s="5" t="s">
        <v>386</v>
      </c>
      <c r="B173" s="3" t="s">
        <v>260</v>
      </c>
      <c r="C173" s="1" t="s">
        <v>258</v>
      </c>
      <c r="D173" s="1" t="s">
        <v>19</v>
      </c>
      <c r="E173" s="1">
        <v>58</v>
      </c>
      <c r="F173" s="1" t="s">
        <v>88</v>
      </c>
      <c r="G173" s="1" t="s">
        <v>89</v>
      </c>
      <c r="H173" s="1" t="s">
        <v>73</v>
      </c>
      <c r="I173" s="1" t="s">
        <v>69</v>
      </c>
      <c r="J173" s="1">
        <v>7</v>
      </c>
      <c r="K173" s="27">
        <v>5</v>
      </c>
      <c r="L173" s="27">
        <v>0.1</v>
      </c>
      <c r="M173" s="1" t="s">
        <v>39</v>
      </c>
      <c r="N173" s="1" t="s">
        <v>51</v>
      </c>
      <c r="O173" t="str">
        <f t="shared" si="8"/>
        <v>Apr</v>
      </c>
      <c r="P173" t="str">
        <f t="shared" si="9"/>
        <v>2026</v>
      </c>
      <c r="Q173" s="25">
        <f t="shared" si="10"/>
        <v>55</v>
      </c>
      <c r="R173" s="29">
        <f t="shared" si="11"/>
        <v>346.5</v>
      </c>
    </row>
    <row r="174" spans="1:18" x14ac:dyDescent="0.25">
      <c r="A174" s="5" t="s">
        <v>387</v>
      </c>
      <c r="B174" s="3" t="s">
        <v>185</v>
      </c>
      <c r="C174" s="1" t="s">
        <v>114</v>
      </c>
      <c r="D174" s="1" t="s">
        <v>36</v>
      </c>
      <c r="E174" s="1">
        <v>34</v>
      </c>
      <c r="F174" s="1" t="s">
        <v>43</v>
      </c>
      <c r="G174" s="1" t="s">
        <v>44</v>
      </c>
      <c r="H174" s="1" t="s">
        <v>109</v>
      </c>
      <c r="I174" s="1" t="s">
        <v>50</v>
      </c>
      <c r="J174" s="1">
        <v>8</v>
      </c>
      <c r="K174" s="27">
        <v>80</v>
      </c>
      <c r="L174" s="27">
        <v>0</v>
      </c>
      <c r="M174" s="1" t="s">
        <v>39</v>
      </c>
      <c r="N174" s="1" t="s">
        <v>51</v>
      </c>
      <c r="O174" t="str">
        <f t="shared" si="8"/>
        <v>Feb</v>
      </c>
      <c r="P174" t="str">
        <f t="shared" si="9"/>
        <v>2026</v>
      </c>
      <c r="Q174" s="25">
        <f t="shared" si="10"/>
        <v>130</v>
      </c>
      <c r="R174" s="29">
        <f t="shared" si="11"/>
        <v>1040</v>
      </c>
    </row>
    <row r="175" spans="1:18" x14ac:dyDescent="0.25">
      <c r="A175" s="5" t="s">
        <v>388</v>
      </c>
      <c r="B175" s="3" t="s">
        <v>323</v>
      </c>
      <c r="C175" s="1" t="s">
        <v>72</v>
      </c>
      <c r="D175" s="1" t="s">
        <v>36</v>
      </c>
      <c r="E175" s="1">
        <v>39</v>
      </c>
      <c r="F175" s="1" t="s">
        <v>37</v>
      </c>
      <c r="G175" s="1" t="s">
        <v>38</v>
      </c>
      <c r="H175" s="1" t="s">
        <v>79</v>
      </c>
      <c r="I175" s="1" t="s">
        <v>23</v>
      </c>
      <c r="J175" s="1">
        <v>7</v>
      </c>
      <c r="K175" s="27">
        <v>500</v>
      </c>
      <c r="L175" s="27">
        <v>0</v>
      </c>
      <c r="M175" s="1" t="s">
        <v>58</v>
      </c>
      <c r="N175" s="1" t="s">
        <v>32</v>
      </c>
      <c r="O175" t="str">
        <f t="shared" si="8"/>
        <v>Jun</v>
      </c>
      <c r="P175" t="str">
        <f t="shared" si="9"/>
        <v>2026</v>
      </c>
      <c r="Q175" s="25">
        <f t="shared" si="10"/>
        <v>550</v>
      </c>
      <c r="R175" s="29">
        <f t="shared" si="11"/>
        <v>3850</v>
      </c>
    </row>
    <row r="176" spans="1:18" x14ac:dyDescent="0.25">
      <c r="A176" s="5" t="s">
        <v>389</v>
      </c>
      <c r="B176" s="3" t="s">
        <v>390</v>
      </c>
      <c r="C176" s="1" t="s">
        <v>114</v>
      </c>
      <c r="D176" s="1" t="s">
        <v>36</v>
      </c>
      <c r="E176" s="1">
        <v>53</v>
      </c>
      <c r="F176" s="1" t="s">
        <v>43</v>
      </c>
      <c r="G176" s="1" t="s">
        <v>44</v>
      </c>
      <c r="H176" s="1" t="s">
        <v>49</v>
      </c>
      <c r="I176" s="1" t="s">
        <v>50</v>
      </c>
      <c r="J176" s="1">
        <v>2</v>
      </c>
      <c r="K176" s="27">
        <v>120</v>
      </c>
      <c r="L176" s="27">
        <v>0.15</v>
      </c>
      <c r="M176" s="1" t="s">
        <v>39</v>
      </c>
      <c r="N176" s="1" t="s">
        <v>32</v>
      </c>
      <c r="O176" t="str">
        <f t="shared" si="8"/>
        <v>Apr</v>
      </c>
      <c r="P176" t="str">
        <f t="shared" si="9"/>
        <v>2026</v>
      </c>
      <c r="Q176" s="25">
        <f t="shared" si="10"/>
        <v>170</v>
      </c>
      <c r="R176" s="29">
        <f t="shared" si="11"/>
        <v>289</v>
      </c>
    </row>
    <row r="177" spans="1:18" x14ac:dyDescent="0.25">
      <c r="A177" s="5" t="s">
        <v>391</v>
      </c>
      <c r="B177" s="3" t="s">
        <v>312</v>
      </c>
      <c r="C177" s="1" t="s">
        <v>78</v>
      </c>
      <c r="D177" s="1" t="s">
        <v>19</v>
      </c>
      <c r="E177" s="1">
        <v>40</v>
      </c>
      <c r="F177" s="1" t="s">
        <v>43</v>
      </c>
      <c r="G177" s="1" t="s">
        <v>44</v>
      </c>
      <c r="H177" s="1" t="s">
        <v>22</v>
      </c>
      <c r="I177" s="1" t="s">
        <v>23</v>
      </c>
      <c r="J177" s="1">
        <v>7</v>
      </c>
      <c r="K177" s="27">
        <v>850</v>
      </c>
      <c r="L177" s="27">
        <v>0.1</v>
      </c>
      <c r="M177" s="1" t="s">
        <v>45</v>
      </c>
      <c r="N177" s="1" t="s">
        <v>55</v>
      </c>
      <c r="O177" t="str">
        <f t="shared" si="8"/>
        <v>Jan</v>
      </c>
      <c r="P177" t="str">
        <f t="shared" si="9"/>
        <v>2026</v>
      </c>
      <c r="Q177" s="25">
        <f t="shared" si="10"/>
        <v>900</v>
      </c>
      <c r="R177" s="29">
        <f t="shared" si="11"/>
        <v>5670</v>
      </c>
    </row>
    <row r="178" spans="1:18" x14ac:dyDescent="0.25">
      <c r="A178" s="5" t="s">
        <v>392</v>
      </c>
      <c r="B178" s="3" t="s">
        <v>393</v>
      </c>
      <c r="C178" s="1" t="s">
        <v>303</v>
      </c>
      <c r="D178" s="1" t="s">
        <v>19</v>
      </c>
      <c r="E178" s="1">
        <v>33</v>
      </c>
      <c r="F178" s="1" t="s">
        <v>29</v>
      </c>
      <c r="G178" s="1" t="s">
        <v>30</v>
      </c>
      <c r="H178" s="1" t="s">
        <v>79</v>
      </c>
      <c r="I178" s="1" t="s">
        <v>23</v>
      </c>
      <c r="J178" s="1">
        <v>4</v>
      </c>
      <c r="K178" s="27">
        <v>500</v>
      </c>
      <c r="L178" s="27">
        <v>0.1</v>
      </c>
      <c r="M178" s="1" t="s">
        <v>31</v>
      </c>
      <c r="N178" s="1" t="s">
        <v>32</v>
      </c>
      <c r="O178" t="str">
        <f t="shared" si="8"/>
        <v>Jan</v>
      </c>
      <c r="P178" t="str">
        <f t="shared" si="9"/>
        <v>2026</v>
      </c>
      <c r="Q178" s="25">
        <f t="shared" si="10"/>
        <v>550</v>
      </c>
      <c r="R178" s="29">
        <f t="shared" si="11"/>
        <v>1980</v>
      </c>
    </row>
    <row r="179" spans="1:18" x14ac:dyDescent="0.25">
      <c r="A179" s="5" t="s">
        <v>394</v>
      </c>
      <c r="B179" s="3" t="s">
        <v>77</v>
      </c>
      <c r="C179" s="1" t="s">
        <v>72</v>
      </c>
      <c r="D179" s="1" t="s">
        <v>19</v>
      </c>
      <c r="E179" s="1">
        <v>45</v>
      </c>
      <c r="F179" s="1" t="s">
        <v>43</v>
      </c>
      <c r="G179" s="1" t="s">
        <v>44</v>
      </c>
      <c r="H179" s="1" t="s">
        <v>22</v>
      </c>
      <c r="I179" s="1" t="s">
        <v>23</v>
      </c>
      <c r="J179" s="1">
        <v>1</v>
      </c>
      <c r="K179" s="27">
        <v>850</v>
      </c>
      <c r="L179" s="27">
        <v>0.05</v>
      </c>
      <c r="M179" s="1" t="s">
        <v>45</v>
      </c>
      <c r="N179" s="1" t="s">
        <v>55</v>
      </c>
      <c r="O179" t="str">
        <f t="shared" si="8"/>
        <v>Mar</v>
      </c>
      <c r="P179" t="str">
        <f t="shared" si="9"/>
        <v>2026</v>
      </c>
      <c r="Q179" s="25">
        <f t="shared" si="10"/>
        <v>900</v>
      </c>
      <c r="R179" s="29">
        <f t="shared" si="11"/>
        <v>855</v>
      </c>
    </row>
    <row r="180" spans="1:18" x14ac:dyDescent="0.25">
      <c r="A180" s="5" t="s">
        <v>395</v>
      </c>
      <c r="B180" s="3" t="s">
        <v>334</v>
      </c>
      <c r="C180" s="1" t="s">
        <v>102</v>
      </c>
      <c r="D180" s="1" t="s">
        <v>19</v>
      </c>
      <c r="E180" s="1">
        <v>21</v>
      </c>
      <c r="F180" s="1" t="s">
        <v>88</v>
      </c>
      <c r="G180" s="1" t="s">
        <v>89</v>
      </c>
      <c r="H180" s="1" t="s">
        <v>109</v>
      </c>
      <c r="I180" s="1" t="s">
        <v>50</v>
      </c>
      <c r="J180" s="1">
        <v>4</v>
      </c>
      <c r="K180" s="27">
        <v>80</v>
      </c>
      <c r="L180" s="27">
        <v>0.05</v>
      </c>
      <c r="M180" s="1" t="s">
        <v>45</v>
      </c>
      <c r="N180" s="1" t="s">
        <v>32</v>
      </c>
      <c r="O180" t="str">
        <f t="shared" si="8"/>
        <v>Mar</v>
      </c>
      <c r="P180" t="str">
        <f t="shared" si="9"/>
        <v>2026</v>
      </c>
      <c r="Q180" s="25">
        <f t="shared" si="10"/>
        <v>130</v>
      </c>
      <c r="R180" s="29">
        <f t="shared" si="11"/>
        <v>494</v>
      </c>
    </row>
    <row r="181" spans="1:18" x14ac:dyDescent="0.25">
      <c r="A181" s="5" t="s">
        <v>396</v>
      </c>
      <c r="B181" s="3" t="s">
        <v>84</v>
      </c>
      <c r="C181" s="1" t="s">
        <v>99</v>
      </c>
      <c r="D181" s="1" t="s">
        <v>19</v>
      </c>
      <c r="E181" s="1">
        <v>42</v>
      </c>
      <c r="F181" s="1" t="s">
        <v>88</v>
      </c>
      <c r="G181" s="1" t="s">
        <v>89</v>
      </c>
      <c r="H181" s="1" t="s">
        <v>118</v>
      </c>
      <c r="I181" s="1" t="s">
        <v>23</v>
      </c>
      <c r="J181" s="1">
        <v>4</v>
      </c>
      <c r="K181" s="27">
        <v>180</v>
      </c>
      <c r="L181" s="27">
        <v>0.15</v>
      </c>
      <c r="M181" s="1" t="s">
        <v>31</v>
      </c>
      <c r="N181" s="1" t="s">
        <v>55</v>
      </c>
      <c r="O181" t="str">
        <f t="shared" si="8"/>
        <v>Mar</v>
      </c>
      <c r="P181" t="str">
        <f t="shared" si="9"/>
        <v>2026</v>
      </c>
      <c r="Q181" s="25">
        <f t="shared" si="10"/>
        <v>230</v>
      </c>
      <c r="R181" s="29">
        <f t="shared" si="11"/>
        <v>782</v>
      </c>
    </row>
    <row r="182" spans="1:18" x14ac:dyDescent="0.25">
      <c r="A182" s="5" t="s">
        <v>397</v>
      </c>
      <c r="B182" s="3" t="s">
        <v>398</v>
      </c>
      <c r="C182" s="1" t="s">
        <v>35</v>
      </c>
      <c r="D182" s="1" t="s">
        <v>36</v>
      </c>
      <c r="E182" s="1">
        <v>34</v>
      </c>
      <c r="F182" s="1" t="s">
        <v>43</v>
      </c>
      <c r="G182" s="1" t="s">
        <v>44</v>
      </c>
      <c r="H182" s="1" t="s">
        <v>68</v>
      </c>
      <c r="I182" s="1" t="s">
        <v>69</v>
      </c>
      <c r="J182" s="1">
        <v>2</v>
      </c>
      <c r="K182" s="27">
        <v>2</v>
      </c>
      <c r="L182" s="27">
        <v>0.05</v>
      </c>
      <c r="M182" s="1" t="s">
        <v>58</v>
      </c>
      <c r="N182" s="1" t="s">
        <v>25</v>
      </c>
      <c r="O182" t="str">
        <f t="shared" si="8"/>
        <v>Jan</v>
      </c>
      <c r="P182" t="str">
        <f t="shared" si="9"/>
        <v>2026</v>
      </c>
      <c r="Q182" s="25">
        <f t="shared" si="10"/>
        <v>52</v>
      </c>
      <c r="R182" s="29">
        <f t="shared" si="11"/>
        <v>98.8</v>
      </c>
    </row>
    <row r="183" spans="1:18" x14ac:dyDescent="0.25">
      <c r="A183" s="5" t="s">
        <v>399</v>
      </c>
      <c r="B183" s="3" t="s">
        <v>41</v>
      </c>
      <c r="C183" s="1" t="s">
        <v>99</v>
      </c>
      <c r="D183" s="1" t="s">
        <v>19</v>
      </c>
      <c r="E183" s="1">
        <v>24</v>
      </c>
      <c r="F183" s="1" t="s">
        <v>20</v>
      </c>
      <c r="G183" s="1" t="s">
        <v>21</v>
      </c>
      <c r="H183" s="1" t="s">
        <v>49</v>
      </c>
      <c r="I183" s="1" t="s">
        <v>50</v>
      </c>
      <c r="J183" s="1">
        <v>9</v>
      </c>
      <c r="K183" s="27">
        <v>120</v>
      </c>
      <c r="L183" s="27">
        <v>0.05</v>
      </c>
      <c r="M183" s="1" t="s">
        <v>93</v>
      </c>
      <c r="N183" s="1" t="s">
        <v>32</v>
      </c>
      <c r="O183" t="str">
        <f t="shared" si="8"/>
        <v>May</v>
      </c>
      <c r="P183" t="str">
        <f t="shared" si="9"/>
        <v>2026</v>
      </c>
      <c r="Q183" s="25">
        <f t="shared" si="10"/>
        <v>170</v>
      </c>
      <c r="R183" s="29">
        <f t="shared" si="11"/>
        <v>1453.5</v>
      </c>
    </row>
    <row r="184" spans="1:18" x14ac:dyDescent="0.25">
      <c r="A184" s="5" t="s">
        <v>400</v>
      </c>
      <c r="B184" s="3" t="s">
        <v>401</v>
      </c>
      <c r="C184" s="1" t="s">
        <v>233</v>
      </c>
      <c r="D184" s="1" t="s">
        <v>36</v>
      </c>
      <c r="E184" s="1">
        <v>47</v>
      </c>
      <c r="F184" s="1" t="s">
        <v>88</v>
      </c>
      <c r="G184" s="1" t="s">
        <v>89</v>
      </c>
      <c r="H184" s="1" t="s">
        <v>73</v>
      </c>
      <c r="I184" s="1" t="s">
        <v>69</v>
      </c>
      <c r="J184" s="1">
        <v>4</v>
      </c>
      <c r="K184" s="27">
        <v>5</v>
      </c>
      <c r="L184" s="27">
        <v>0.1</v>
      </c>
      <c r="M184" s="1" t="s">
        <v>45</v>
      </c>
      <c r="N184" s="1" t="s">
        <v>25</v>
      </c>
      <c r="O184" t="str">
        <f t="shared" si="8"/>
        <v>May</v>
      </c>
      <c r="P184" t="str">
        <f t="shared" si="9"/>
        <v>2026</v>
      </c>
      <c r="Q184" s="25">
        <f t="shared" si="10"/>
        <v>55</v>
      </c>
      <c r="R184" s="29">
        <f t="shared" si="11"/>
        <v>198</v>
      </c>
    </row>
    <row r="185" spans="1:18" x14ac:dyDescent="0.25">
      <c r="A185" s="5" t="s">
        <v>402</v>
      </c>
      <c r="B185" s="3" t="s">
        <v>403</v>
      </c>
      <c r="C185" s="1" t="s">
        <v>18</v>
      </c>
      <c r="D185" s="1" t="s">
        <v>19</v>
      </c>
      <c r="E185" s="1">
        <v>56</v>
      </c>
      <c r="F185" s="1" t="s">
        <v>37</v>
      </c>
      <c r="G185" s="1" t="s">
        <v>38</v>
      </c>
      <c r="H185" s="1" t="s">
        <v>22</v>
      </c>
      <c r="I185" s="1" t="s">
        <v>23</v>
      </c>
      <c r="J185" s="1">
        <v>4</v>
      </c>
      <c r="K185" s="27">
        <v>850</v>
      </c>
      <c r="L185" s="27">
        <v>0.05</v>
      </c>
      <c r="M185" s="1" t="s">
        <v>45</v>
      </c>
      <c r="N185" s="1" t="s">
        <v>51</v>
      </c>
      <c r="O185" t="str">
        <f t="shared" si="8"/>
        <v>Jun</v>
      </c>
      <c r="P185" t="str">
        <f t="shared" si="9"/>
        <v>2026</v>
      </c>
      <c r="Q185" s="25">
        <f t="shared" si="10"/>
        <v>900</v>
      </c>
      <c r="R185" s="29">
        <f t="shared" si="11"/>
        <v>3420</v>
      </c>
    </row>
    <row r="186" spans="1:18" x14ac:dyDescent="0.25">
      <c r="A186" s="5" t="s">
        <v>404</v>
      </c>
      <c r="B186" s="3" t="s">
        <v>405</v>
      </c>
      <c r="C186" s="1" t="s">
        <v>289</v>
      </c>
      <c r="D186" s="1" t="s">
        <v>19</v>
      </c>
      <c r="E186" s="1">
        <v>33</v>
      </c>
      <c r="F186" s="1" t="s">
        <v>43</v>
      </c>
      <c r="G186" s="1" t="s">
        <v>44</v>
      </c>
      <c r="H186" s="1" t="s">
        <v>109</v>
      </c>
      <c r="I186" s="1" t="s">
        <v>50</v>
      </c>
      <c r="J186" s="1">
        <v>1</v>
      </c>
      <c r="K186" s="27">
        <v>80</v>
      </c>
      <c r="L186" s="27">
        <v>0.1</v>
      </c>
      <c r="M186" s="1" t="s">
        <v>93</v>
      </c>
      <c r="N186" s="1" t="s">
        <v>51</v>
      </c>
      <c r="O186" t="str">
        <f t="shared" si="8"/>
        <v>Apr</v>
      </c>
      <c r="P186" t="str">
        <f t="shared" si="9"/>
        <v>2026</v>
      </c>
      <c r="Q186" s="25">
        <f t="shared" si="10"/>
        <v>130</v>
      </c>
      <c r="R186" s="29">
        <f t="shared" si="11"/>
        <v>117</v>
      </c>
    </row>
    <row r="187" spans="1:18" x14ac:dyDescent="0.25">
      <c r="A187" s="5" t="s">
        <v>406</v>
      </c>
      <c r="B187" s="3" t="s">
        <v>77</v>
      </c>
      <c r="C187" s="1" t="s">
        <v>123</v>
      </c>
      <c r="D187" s="1" t="s">
        <v>36</v>
      </c>
      <c r="E187" s="1">
        <v>53</v>
      </c>
      <c r="F187" s="1" t="s">
        <v>29</v>
      </c>
      <c r="G187" s="1" t="s">
        <v>30</v>
      </c>
      <c r="H187" s="1" t="s">
        <v>68</v>
      </c>
      <c r="I187" s="1" t="s">
        <v>69</v>
      </c>
      <c r="J187" s="1">
        <v>6</v>
      </c>
      <c r="K187" s="27">
        <v>2</v>
      </c>
      <c r="L187" s="27">
        <v>0.15</v>
      </c>
      <c r="M187" s="1" t="s">
        <v>39</v>
      </c>
      <c r="N187" s="1" t="s">
        <v>25</v>
      </c>
      <c r="O187" t="str">
        <f t="shared" si="8"/>
        <v>Mar</v>
      </c>
      <c r="P187" t="str">
        <f t="shared" si="9"/>
        <v>2026</v>
      </c>
      <c r="Q187" s="25">
        <f t="shared" si="10"/>
        <v>52</v>
      </c>
      <c r="R187" s="29">
        <f t="shared" si="11"/>
        <v>265.2</v>
      </c>
    </row>
    <row r="188" spans="1:18" x14ac:dyDescent="0.25">
      <c r="A188" s="5" t="s">
        <v>407</v>
      </c>
      <c r="B188" s="3" t="s">
        <v>253</v>
      </c>
      <c r="C188" s="1" t="s">
        <v>152</v>
      </c>
      <c r="D188" s="1" t="s">
        <v>19</v>
      </c>
      <c r="E188" s="1">
        <v>52</v>
      </c>
      <c r="F188" s="1" t="s">
        <v>37</v>
      </c>
      <c r="G188" s="1" t="s">
        <v>38</v>
      </c>
      <c r="H188" s="1" t="s">
        <v>109</v>
      </c>
      <c r="I188" s="1" t="s">
        <v>50</v>
      </c>
      <c r="J188" s="1">
        <v>7</v>
      </c>
      <c r="K188" s="27">
        <v>80</v>
      </c>
      <c r="L188" s="27">
        <v>0.05</v>
      </c>
      <c r="M188" s="1" t="s">
        <v>93</v>
      </c>
      <c r="N188" s="1" t="s">
        <v>32</v>
      </c>
      <c r="O188" t="str">
        <f t="shared" si="8"/>
        <v>May</v>
      </c>
      <c r="P188" t="str">
        <f t="shared" si="9"/>
        <v>2026</v>
      </c>
      <c r="Q188" s="25">
        <f t="shared" si="10"/>
        <v>130</v>
      </c>
      <c r="R188" s="29">
        <f t="shared" si="11"/>
        <v>864.5</v>
      </c>
    </row>
    <row r="189" spans="1:18" x14ac:dyDescent="0.25">
      <c r="A189" s="5" t="s">
        <v>408</v>
      </c>
      <c r="B189" s="3" t="s">
        <v>187</v>
      </c>
      <c r="C189" s="1" t="s">
        <v>182</v>
      </c>
      <c r="D189" s="1" t="s">
        <v>19</v>
      </c>
      <c r="E189" s="1">
        <v>45</v>
      </c>
      <c r="F189" s="1" t="s">
        <v>20</v>
      </c>
      <c r="G189" s="1" t="s">
        <v>21</v>
      </c>
      <c r="H189" s="1" t="s">
        <v>109</v>
      </c>
      <c r="I189" s="1" t="s">
        <v>50</v>
      </c>
      <c r="J189" s="1">
        <v>10</v>
      </c>
      <c r="K189" s="27">
        <v>80</v>
      </c>
      <c r="L189" s="27">
        <v>0.15</v>
      </c>
      <c r="M189" s="1" t="s">
        <v>93</v>
      </c>
      <c r="N189" s="1" t="s">
        <v>32</v>
      </c>
      <c r="O189" t="str">
        <f t="shared" si="8"/>
        <v>Jan</v>
      </c>
      <c r="P189" t="str">
        <f t="shared" si="9"/>
        <v>2026</v>
      </c>
      <c r="Q189" s="25">
        <f t="shared" si="10"/>
        <v>130</v>
      </c>
      <c r="R189" s="29">
        <f t="shared" si="11"/>
        <v>1105</v>
      </c>
    </row>
    <row r="190" spans="1:18" x14ac:dyDescent="0.25">
      <c r="A190" s="5" t="s">
        <v>409</v>
      </c>
      <c r="B190" s="3" t="s">
        <v>375</v>
      </c>
      <c r="C190" s="1" t="s">
        <v>155</v>
      </c>
      <c r="D190" s="1" t="s">
        <v>36</v>
      </c>
      <c r="E190" s="1">
        <v>28</v>
      </c>
      <c r="F190" s="1" t="s">
        <v>88</v>
      </c>
      <c r="G190" s="1" t="s">
        <v>89</v>
      </c>
      <c r="H190" s="1" t="s">
        <v>109</v>
      </c>
      <c r="I190" s="1" t="s">
        <v>50</v>
      </c>
      <c r="J190" s="1">
        <v>8</v>
      </c>
      <c r="K190" s="27">
        <v>80</v>
      </c>
      <c r="L190" s="27">
        <v>0.05</v>
      </c>
      <c r="M190" s="1" t="s">
        <v>93</v>
      </c>
      <c r="N190" s="1" t="s">
        <v>32</v>
      </c>
      <c r="O190" t="str">
        <f t="shared" si="8"/>
        <v>Apr</v>
      </c>
      <c r="P190" t="str">
        <f t="shared" si="9"/>
        <v>2026</v>
      </c>
      <c r="Q190" s="25">
        <f t="shared" si="10"/>
        <v>130</v>
      </c>
      <c r="R190" s="29">
        <f t="shared" si="11"/>
        <v>988</v>
      </c>
    </row>
    <row r="191" spans="1:18" x14ac:dyDescent="0.25">
      <c r="A191" s="5" t="s">
        <v>410</v>
      </c>
      <c r="B191" s="3" t="s">
        <v>411</v>
      </c>
      <c r="C191" s="1" t="s">
        <v>223</v>
      </c>
      <c r="D191" s="1" t="s">
        <v>36</v>
      </c>
      <c r="E191" s="1">
        <v>59</v>
      </c>
      <c r="F191" s="1" t="s">
        <v>20</v>
      </c>
      <c r="G191" s="1" t="s">
        <v>21</v>
      </c>
      <c r="H191" s="1" t="s">
        <v>68</v>
      </c>
      <c r="I191" s="1" t="s">
        <v>69</v>
      </c>
      <c r="J191" s="1">
        <v>2</v>
      </c>
      <c r="K191" s="27">
        <v>2</v>
      </c>
      <c r="L191" s="27">
        <v>0.05</v>
      </c>
      <c r="M191" s="1" t="s">
        <v>39</v>
      </c>
      <c r="N191" s="1" t="s">
        <v>32</v>
      </c>
      <c r="O191" t="str">
        <f t="shared" si="8"/>
        <v>Jun</v>
      </c>
      <c r="P191" t="str">
        <f t="shared" si="9"/>
        <v>2026</v>
      </c>
      <c r="Q191" s="25">
        <f t="shared" si="10"/>
        <v>52</v>
      </c>
      <c r="R191" s="29">
        <f t="shared" si="11"/>
        <v>98.8</v>
      </c>
    </row>
    <row r="192" spans="1:18" x14ac:dyDescent="0.25">
      <c r="A192" s="5" t="s">
        <v>412</v>
      </c>
      <c r="B192" s="3" t="s">
        <v>250</v>
      </c>
      <c r="C192" s="1" t="s">
        <v>318</v>
      </c>
      <c r="D192" s="1" t="s">
        <v>36</v>
      </c>
      <c r="E192" s="1">
        <v>57</v>
      </c>
      <c r="F192" s="1" t="s">
        <v>29</v>
      </c>
      <c r="G192" s="1" t="s">
        <v>30</v>
      </c>
      <c r="H192" s="1" t="s">
        <v>79</v>
      </c>
      <c r="I192" s="1" t="s">
        <v>23</v>
      </c>
      <c r="J192" s="1">
        <v>3</v>
      </c>
      <c r="K192" s="27">
        <v>500</v>
      </c>
      <c r="L192" s="27">
        <v>0.15</v>
      </c>
      <c r="M192" s="1" t="s">
        <v>39</v>
      </c>
      <c r="N192" s="1" t="s">
        <v>51</v>
      </c>
      <c r="O192" t="str">
        <f t="shared" si="8"/>
        <v>Mar</v>
      </c>
      <c r="P192" t="str">
        <f t="shared" si="9"/>
        <v>2026</v>
      </c>
      <c r="Q192" s="25">
        <f t="shared" si="10"/>
        <v>550</v>
      </c>
      <c r="R192" s="29">
        <f t="shared" si="11"/>
        <v>1402.5</v>
      </c>
    </row>
    <row r="193" spans="1:18" x14ac:dyDescent="0.25">
      <c r="A193" s="5" t="s">
        <v>413</v>
      </c>
      <c r="B193" s="3" t="s">
        <v>185</v>
      </c>
      <c r="C193" s="1" t="s">
        <v>92</v>
      </c>
      <c r="D193" s="1" t="s">
        <v>36</v>
      </c>
      <c r="E193" s="1">
        <v>60</v>
      </c>
      <c r="F193" s="1" t="s">
        <v>29</v>
      </c>
      <c r="G193" s="1" t="s">
        <v>30</v>
      </c>
      <c r="H193" s="1" t="s">
        <v>118</v>
      </c>
      <c r="I193" s="1" t="s">
        <v>23</v>
      </c>
      <c r="J193" s="1">
        <v>9</v>
      </c>
      <c r="K193" s="27">
        <v>180</v>
      </c>
      <c r="L193" s="27">
        <v>0.1</v>
      </c>
      <c r="M193" s="1" t="s">
        <v>39</v>
      </c>
      <c r="N193" s="1" t="s">
        <v>51</v>
      </c>
      <c r="O193" t="str">
        <f t="shared" si="8"/>
        <v>Feb</v>
      </c>
      <c r="P193" t="str">
        <f t="shared" si="9"/>
        <v>2026</v>
      </c>
      <c r="Q193" s="25">
        <f t="shared" si="10"/>
        <v>230</v>
      </c>
      <c r="R193" s="29">
        <f t="shared" si="11"/>
        <v>1863</v>
      </c>
    </row>
    <row r="194" spans="1:18" x14ac:dyDescent="0.25">
      <c r="A194" s="5" t="s">
        <v>414</v>
      </c>
      <c r="B194" s="3" t="s">
        <v>415</v>
      </c>
      <c r="C194" s="1" t="s">
        <v>105</v>
      </c>
      <c r="D194" s="1" t="s">
        <v>19</v>
      </c>
      <c r="E194" s="1">
        <v>55</v>
      </c>
      <c r="F194" s="1" t="s">
        <v>88</v>
      </c>
      <c r="G194" s="1" t="s">
        <v>89</v>
      </c>
      <c r="H194" s="1" t="s">
        <v>109</v>
      </c>
      <c r="I194" s="1" t="s">
        <v>50</v>
      </c>
      <c r="J194" s="1">
        <v>3</v>
      </c>
      <c r="K194" s="27">
        <v>80</v>
      </c>
      <c r="L194" s="27">
        <v>0.05</v>
      </c>
      <c r="M194" s="1" t="s">
        <v>31</v>
      </c>
      <c r="N194" s="1" t="s">
        <v>55</v>
      </c>
      <c r="O194" t="str">
        <f t="shared" ref="O194:O257" si="12">TEXT(B:B,"MMM")</f>
        <v>May</v>
      </c>
      <c r="P194" t="str">
        <f t="shared" ref="P194:P257" si="13">TEXT(B:B,"YYYY")</f>
        <v>2026</v>
      </c>
      <c r="Q194" s="25">
        <f t="shared" ref="Q194:Q257" si="14">K:K+50</f>
        <v>130</v>
      </c>
      <c r="R194" s="29">
        <f t="shared" si="11"/>
        <v>370.5</v>
      </c>
    </row>
    <row r="195" spans="1:18" x14ac:dyDescent="0.25">
      <c r="A195" s="5" t="s">
        <v>416</v>
      </c>
      <c r="B195" s="3" t="s">
        <v>417</v>
      </c>
      <c r="C195" s="1" t="s">
        <v>54</v>
      </c>
      <c r="D195" s="1" t="s">
        <v>36</v>
      </c>
      <c r="E195" s="1">
        <v>50</v>
      </c>
      <c r="F195" s="1" t="s">
        <v>29</v>
      </c>
      <c r="G195" s="1" t="s">
        <v>30</v>
      </c>
      <c r="H195" s="1" t="s">
        <v>68</v>
      </c>
      <c r="I195" s="1" t="s">
        <v>69</v>
      </c>
      <c r="J195" s="1">
        <v>4</v>
      </c>
      <c r="K195" s="27">
        <v>2</v>
      </c>
      <c r="L195" s="27">
        <v>0.05</v>
      </c>
      <c r="M195" s="1" t="s">
        <v>45</v>
      </c>
      <c r="N195" s="1" t="s">
        <v>32</v>
      </c>
      <c r="O195" t="str">
        <f t="shared" si="12"/>
        <v>Jan</v>
      </c>
      <c r="P195" t="str">
        <f t="shared" si="13"/>
        <v>2026</v>
      </c>
      <c r="Q195" s="25">
        <f t="shared" si="14"/>
        <v>52</v>
      </c>
      <c r="R195" s="29">
        <f t="shared" ref="R195:R258" si="15">J:J*Q:Q*(1-L:L)</f>
        <v>197.6</v>
      </c>
    </row>
    <row r="196" spans="1:18" x14ac:dyDescent="0.25">
      <c r="A196" s="5" t="s">
        <v>418</v>
      </c>
      <c r="B196" s="3" t="s">
        <v>405</v>
      </c>
      <c r="C196" s="1" t="s">
        <v>96</v>
      </c>
      <c r="D196" s="1" t="s">
        <v>19</v>
      </c>
      <c r="E196" s="1">
        <v>23</v>
      </c>
      <c r="F196" s="1" t="s">
        <v>20</v>
      </c>
      <c r="G196" s="1" t="s">
        <v>21</v>
      </c>
      <c r="H196" s="1" t="s">
        <v>68</v>
      </c>
      <c r="I196" s="1" t="s">
        <v>69</v>
      </c>
      <c r="J196" s="1">
        <v>9</v>
      </c>
      <c r="K196" s="27">
        <v>2</v>
      </c>
      <c r="L196" s="27">
        <v>0.05</v>
      </c>
      <c r="M196" s="1" t="s">
        <v>45</v>
      </c>
      <c r="N196" s="1" t="s">
        <v>55</v>
      </c>
      <c r="O196" t="str">
        <f t="shared" si="12"/>
        <v>Apr</v>
      </c>
      <c r="P196" t="str">
        <f t="shared" si="13"/>
        <v>2026</v>
      </c>
      <c r="Q196" s="25">
        <f t="shared" si="14"/>
        <v>52</v>
      </c>
      <c r="R196" s="29">
        <f t="shared" si="15"/>
        <v>444.59999999999997</v>
      </c>
    </row>
    <row r="197" spans="1:18" x14ac:dyDescent="0.25">
      <c r="A197" s="5" t="s">
        <v>419</v>
      </c>
      <c r="B197" s="3" t="s">
        <v>250</v>
      </c>
      <c r="C197" s="1" t="s">
        <v>78</v>
      </c>
      <c r="D197" s="1" t="s">
        <v>36</v>
      </c>
      <c r="E197" s="1">
        <v>55</v>
      </c>
      <c r="F197" s="1" t="s">
        <v>20</v>
      </c>
      <c r="G197" s="1" t="s">
        <v>21</v>
      </c>
      <c r="H197" s="1" t="s">
        <v>118</v>
      </c>
      <c r="I197" s="1" t="s">
        <v>23</v>
      </c>
      <c r="J197" s="1">
        <v>7</v>
      </c>
      <c r="K197" s="27">
        <v>180</v>
      </c>
      <c r="L197" s="27">
        <v>0.1</v>
      </c>
      <c r="M197" s="1" t="s">
        <v>58</v>
      </c>
      <c r="N197" s="1" t="s">
        <v>32</v>
      </c>
      <c r="O197" t="str">
        <f t="shared" si="12"/>
        <v>Mar</v>
      </c>
      <c r="P197" t="str">
        <f t="shared" si="13"/>
        <v>2026</v>
      </c>
      <c r="Q197" s="25">
        <f t="shared" si="14"/>
        <v>230</v>
      </c>
      <c r="R197" s="29">
        <f t="shared" si="15"/>
        <v>1449</v>
      </c>
    </row>
    <row r="198" spans="1:18" x14ac:dyDescent="0.25">
      <c r="A198" s="5" t="s">
        <v>420</v>
      </c>
      <c r="B198" s="3" t="s">
        <v>98</v>
      </c>
      <c r="C198" s="1" t="s">
        <v>233</v>
      </c>
      <c r="D198" s="1" t="s">
        <v>36</v>
      </c>
      <c r="E198" s="1">
        <v>37</v>
      </c>
      <c r="F198" s="1" t="s">
        <v>43</v>
      </c>
      <c r="G198" s="1" t="s">
        <v>44</v>
      </c>
      <c r="H198" s="1" t="s">
        <v>79</v>
      </c>
      <c r="I198" s="1" t="s">
        <v>23</v>
      </c>
      <c r="J198" s="1">
        <v>2</v>
      </c>
      <c r="K198" s="27">
        <v>500</v>
      </c>
      <c r="L198" s="27">
        <v>0</v>
      </c>
      <c r="M198" s="1" t="s">
        <v>58</v>
      </c>
      <c r="N198" s="1" t="s">
        <v>51</v>
      </c>
      <c r="O198" t="str">
        <f t="shared" si="12"/>
        <v>Jun</v>
      </c>
      <c r="P198" t="str">
        <f t="shared" si="13"/>
        <v>2026</v>
      </c>
      <c r="Q198" s="25">
        <f t="shared" si="14"/>
        <v>550</v>
      </c>
      <c r="R198" s="29">
        <f t="shared" si="15"/>
        <v>1100</v>
      </c>
    </row>
    <row r="199" spans="1:18" x14ac:dyDescent="0.25">
      <c r="A199" s="5" t="s">
        <v>421</v>
      </c>
      <c r="B199" s="3" t="s">
        <v>328</v>
      </c>
      <c r="C199" s="1" t="s">
        <v>158</v>
      </c>
      <c r="D199" s="1" t="s">
        <v>36</v>
      </c>
      <c r="E199" s="1">
        <v>34</v>
      </c>
      <c r="F199" s="1" t="s">
        <v>43</v>
      </c>
      <c r="G199" s="1" t="s">
        <v>44</v>
      </c>
      <c r="H199" s="1" t="s">
        <v>22</v>
      </c>
      <c r="I199" s="1" t="s">
        <v>23</v>
      </c>
      <c r="J199" s="1">
        <v>5</v>
      </c>
      <c r="K199" s="27">
        <v>850</v>
      </c>
      <c r="L199" s="27">
        <v>0.15</v>
      </c>
      <c r="M199" s="1" t="s">
        <v>24</v>
      </c>
      <c r="N199" s="1" t="s">
        <v>25</v>
      </c>
      <c r="O199" t="str">
        <f t="shared" si="12"/>
        <v>May</v>
      </c>
      <c r="P199" t="str">
        <f t="shared" si="13"/>
        <v>2026</v>
      </c>
      <c r="Q199" s="25">
        <f t="shared" si="14"/>
        <v>900</v>
      </c>
      <c r="R199" s="29">
        <f t="shared" si="15"/>
        <v>3825</v>
      </c>
    </row>
    <row r="200" spans="1:18" x14ac:dyDescent="0.25">
      <c r="A200" s="5" t="s">
        <v>422</v>
      </c>
      <c r="B200" s="3" t="s">
        <v>423</v>
      </c>
      <c r="C200" s="1" t="s">
        <v>61</v>
      </c>
      <c r="D200" s="1" t="s">
        <v>36</v>
      </c>
      <c r="E200" s="1">
        <v>27</v>
      </c>
      <c r="F200" s="1" t="s">
        <v>29</v>
      </c>
      <c r="G200" s="1" t="s">
        <v>30</v>
      </c>
      <c r="H200" s="1" t="s">
        <v>118</v>
      </c>
      <c r="I200" s="1" t="s">
        <v>23</v>
      </c>
      <c r="J200" s="1">
        <v>4</v>
      </c>
      <c r="K200" s="27">
        <v>180</v>
      </c>
      <c r="L200" s="27">
        <v>0.1</v>
      </c>
      <c r="M200" s="1" t="s">
        <v>45</v>
      </c>
      <c r="N200" s="1" t="s">
        <v>55</v>
      </c>
      <c r="O200" t="str">
        <f t="shared" si="12"/>
        <v>Jan</v>
      </c>
      <c r="P200" t="str">
        <f t="shared" si="13"/>
        <v>2026</v>
      </c>
      <c r="Q200" s="25">
        <f t="shared" si="14"/>
        <v>230</v>
      </c>
      <c r="R200" s="29">
        <f t="shared" si="15"/>
        <v>828</v>
      </c>
    </row>
    <row r="201" spans="1:18" x14ac:dyDescent="0.25">
      <c r="A201" s="5" t="s">
        <v>424</v>
      </c>
      <c r="B201" s="3" t="s">
        <v>425</v>
      </c>
      <c r="C201" s="1" t="s">
        <v>294</v>
      </c>
      <c r="D201" s="1" t="s">
        <v>19</v>
      </c>
      <c r="E201" s="1">
        <v>29</v>
      </c>
      <c r="F201" s="1" t="s">
        <v>20</v>
      </c>
      <c r="G201" s="1" t="s">
        <v>21</v>
      </c>
      <c r="H201" s="1" t="s">
        <v>68</v>
      </c>
      <c r="I201" s="1" t="s">
        <v>69</v>
      </c>
      <c r="J201" s="1">
        <v>1</v>
      </c>
      <c r="K201" s="27">
        <v>2</v>
      </c>
      <c r="L201" s="27">
        <v>0.15</v>
      </c>
      <c r="M201" s="1" t="s">
        <v>39</v>
      </c>
      <c r="N201" s="1" t="s">
        <v>51</v>
      </c>
      <c r="O201" t="str">
        <f t="shared" si="12"/>
        <v>Mar</v>
      </c>
      <c r="P201" t="str">
        <f t="shared" si="13"/>
        <v>2026</v>
      </c>
      <c r="Q201" s="25">
        <f t="shared" si="14"/>
        <v>52</v>
      </c>
      <c r="R201" s="29">
        <f t="shared" si="15"/>
        <v>44.199999999999996</v>
      </c>
    </row>
    <row r="202" spans="1:18" x14ac:dyDescent="0.25">
      <c r="A202" s="5" t="s">
        <v>426</v>
      </c>
      <c r="B202" s="3" t="s">
        <v>427</v>
      </c>
      <c r="C202" s="1" t="s">
        <v>303</v>
      </c>
      <c r="D202" s="1" t="s">
        <v>19</v>
      </c>
      <c r="E202" s="1">
        <v>47</v>
      </c>
      <c r="F202" s="1" t="s">
        <v>43</v>
      </c>
      <c r="G202" s="1" t="s">
        <v>44</v>
      </c>
      <c r="H202" s="1" t="s">
        <v>73</v>
      </c>
      <c r="I202" s="1" t="s">
        <v>69</v>
      </c>
      <c r="J202" s="1">
        <v>9</v>
      </c>
      <c r="K202" s="27">
        <v>5</v>
      </c>
      <c r="L202" s="27">
        <v>0</v>
      </c>
      <c r="M202" s="1" t="s">
        <v>24</v>
      </c>
      <c r="N202" s="1" t="s">
        <v>51</v>
      </c>
      <c r="O202" t="str">
        <f t="shared" si="12"/>
        <v>Apr</v>
      </c>
      <c r="P202" t="str">
        <f t="shared" si="13"/>
        <v>2026</v>
      </c>
      <c r="Q202" s="25">
        <f t="shared" si="14"/>
        <v>55</v>
      </c>
      <c r="R202" s="29">
        <f t="shared" si="15"/>
        <v>495</v>
      </c>
    </row>
    <row r="203" spans="1:18" x14ac:dyDescent="0.25">
      <c r="A203" s="5" t="s">
        <v>428</v>
      </c>
      <c r="B203" s="3" t="s">
        <v>227</v>
      </c>
      <c r="C203" s="1" t="s">
        <v>54</v>
      </c>
      <c r="D203" s="1" t="s">
        <v>19</v>
      </c>
      <c r="E203" s="1">
        <v>18</v>
      </c>
      <c r="F203" s="1" t="s">
        <v>37</v>
      </c>
      <c r="G203" s="1" t="s">
        <v>38</v>
      </c>
      <c r="H203" s="1" t="s">
        <v>79</v>
      </c>
      <c r="I203" s="1" t="s">
        <v>23</v>
      </c>
      <c r="J203" s="1">
        <v>8</v>
      </c>
      <c r="K203" s="27">
        <v>500</v>
      </c>
      <c r="L203" s="27">
        <v>0.15</v>
      </c>
      <c r="M203" s="1" t="s">
        <v>31</v>
      </c>
      <c r="N203" s="1" t="s">
        <v>25</v>
      </c>
      <c r="O203" t="str">
        <f t="shared" si="12"/>
        <v>Jun</v>
      </c>
      <c r="P203" t="str">
        <f t="shared" si="13"/>
        <v>2026</v>
      </c>
      <c r="Q203" s="25">
        <f t="shared" si="14"/>
        <v>550</v>
      </c>
      <c r="R203" s="29">
        <f t="shared" si="15"/>
        <v>3740</v>
      </c>
    </row>
    <row r="204" spans="1:18" x14ac:dyDescent="0.25">
      <c r="A204" s="5" t="s">
        <v>429</v>
      </c>
      <c r="B204" s="3" t="s">
        <v>248</v>
      </c>
      <c r="C204" s="1" t="s">
        <v>188</v>
      </c>
      <c r="D204" s="1" t="s">
        <v>36</v>
      </c>
      <c r="E204" s="1">
        <v>35</v>
      </c>
      <c r="F204" s="1" t="s">
        <v>37</v>
      </c>
      <c r="G204" s="1" t="s">
        <v>38</v>
      </c>
      <c r="H204" s="1" t="s">
        <v>68</v>
      </c>
      <c r="I204" s="1" t="s">
        <v>69</v>
      </c>
      <c r="J204" s="1">
        <v>3</v>
      </c>
      <c r="K204" s="27">
        <v>2</v>
      </c>
      <c r="L204" s="27">
        <v>0.1</v>
      </c>
      <c r="M204" s="1" t="s">
        <v>45</v>
      </c>
      <c r="N204" s="1" t="s">
        <v>25</v>
      </c>
      <c r="O204" t="str">
        <f t="shared" si="12"/>
        <v>Mar</v>
      </c>
      <c r="P204" t="str">
        <f t="shared" si="13"/>
        <v>2026</v>
      </c>
      <c r="Q204" s="25">
        <f t="shared" si="14"/>
        <v>52</v>
      </c>
      <c r="R204" s="29">
        <f t="shared" si="15"/>
        <v>140.4</v>
      </c>
    </row>
    <row r="205" spans="1:18" x14ac:dyDescent="0.25">
      <c r="A205" s="5" t="s">
        <v>430</v>
      </c>
      <c r="B205" s="3" t="s">
        <v>84</v>
      </c>
      <c r="C205" s="1" t="s">
        <v>158</v>
      </c>
      <c r="D205" s="1" t="s">
        <v>19</v>
      </c>
      <c r="E205" s="1">
        <v>46</v>
      </c>
      <c r="F205" s="1" t="s">
        <v>88</v>
      </c>
      <c r="G205" s="1" t="s">
        <v>89</v>
      </c>
      <c r="H205" s="1" t="s">
        <v>62</v>
      </c>
      <c r="I205" s="1" t="s">
        <v>23</v>
      </c>
      <c r="J205" s="1">
        <v>10</v>
      </c>
      <c r="K205" s="27">
        <v>15</v>
      </c>
      <c r="L205" s="27">
        <v>0.15</v>
      </c>
      <c r="M205" s="1" t="s">
        <v>58</v>
      </c>
      <c r="N205" s="1" t="s">
        <v>51</v>
      </c>
      <c r="O205" t="str">
        <f t="shared" si="12"/>
        <v>Mar</v>
      </c>
      <c r="P205" t="str">
        <f t="shared" si="13"/>
        <v>2026</v>
      </c>
      <c r="Q205" s="25">
        <f t="shared" si="14"/>
        <v>65</v>
      </c>
      <c r="R205" s="29">
        <f t="shared" si="15"/>
        <v>552.5</v>
      </c>
    </row>
    <row r="206" spans="1:18" x14ac:dyDescent="0.25">
      <c r="A206" s="5" t="s">
        <v>431</v>
      </c>
      <c r="B206" s="3" t="s">
        <v>432</v>
      </c>
      <c r="C206" s="1" t="s">
        <v>92</v>
      </c>
      <c r="D206" s="1" t="s">
        <v>19</v>
      </c>
      <c r="E206" s="1">
        <v>46</v>
      </c>
      <c r="F206" s="1" t="s">
        <v>20</v>
      </c>
      <c r="G206" s="1" t="s">
        <v>21</v>
      </c>
      <c r="H206" s="1" t="s">
        <v>49</v>
      </c>
      <c r="I206" s="1" t="s">
        <v>50</v>
      </c>
      <c r="J206" s="1">
        <v>7</v>
      </c>
      <c r="K206" s="27">
        <v>120</v>
      </c>
      <c r="L206" s="27">
        <v>0.05</v>
      </c>
      <c r="M206" s="1" t="s">
        <v>24</v>
      </c>
      <c r="N206" s="1" t="s">
        <v>51</v>
      </c>
      <c r="O206" t="str">
        <f t="shared" si="12"/>
        <v>Jun</v>
      </c>
      <c r="P206" t="str">
        <f t="shared" si="13"/>
        <v>2026</v>
      </c>
      <c r="Q206" s="25">
        <f t="shared" si="14"/>
        <v>170</v>
      </c>
      <c r="R206" s="29">
        <f t="shared" si="15"/>
        <v>1130.5</v>
      </c>
    </row>
    <row r="207" spans="1:18" x14ac:dyDescent="0.25">
      <c r="A207" s="5" t="s">
        <v>433</v>
      </c>
      <c r="B207" s="3" t="s">
        <v>122</v>
      </c>
      <c r="C207" s="1" t="s">
        <v>233</v>
      </c>
      <c r="D207" s="1" t="s">
        <v>19</v>
      </c>
      <c r="E207" s="1">
        <v>39</v>
      </c>
      <c r="F207" s="1" t="s">
        <v>29</v>
      </c>
      <c r="G207" s="1" t="s">
        <v>30</v>
      </c>
      <c r="H207" s="1" t="s">
        <v>49</v>
      </c>
      <c r="I207" s="1" t="s">
        <v>50</v>
      </c>
      <c r="J207" s="1">
        <v>1</v>
      </c>
      <c r="K207" s="27">
        <v>120</v>
      </c>
      <c r="L207" s="27">
        <v>0.15</v>
      </c>
      <c r="M207" s="1" t="s">
        <v>58</v>
      </c>
      <c r="N207" s="1" t="s">
        <v>51</v>
      </c>
      <c r="O207" t="str">
        <f t="shared" si="12"/>
        <v>Mar</v>
      </c>
      <c r="P207" t="str">
        <f t="shared" si="13"/>
        <v>2026</v>
      </c>
      <c r="Q207" s="25">
        <f t="shared" si="14"/>
        <v>170</v>
      </c>
      <c r="R207" s="29">
        <f t="shared" si="15"/>
        <v>144.5</v>
      </c>
    </row>
    <row r="208" spans="1:18" x14ac:dyDescent="0.25">
      <c r="A208" s="5" t="s">
        <v>434</v>
      </c>
      <c r="B208" s="3" t="s">
        <v>435</v>
      </c>
      <c r="C208" s="1" t="s">
        <v>105</v>
      </c>
      <c r="D208" s="1" t="s">
        <v>36</v>
      </c>
      <c r="E208" s="1">
        <v>49</v>
      </c>
      <c r="F208" s="1" t="s">
        <v>88</v>
      </c>
      <c r="G208" s="1" t="s">
        <v>89</v>
      </c>
      <c r="H208" s="1" t="s">
        <v>62</v>
      </c>
      <c r="I208" s="1" t="s">
        <v>23</v>
      </c>
      <c r="J208" s="1">
        <v>7</v>
      </c>
      <c r="K208" s="27">
        <v>15</v>
      </c>
      <c r="L208" s="27">
        <v>0</v>
      </c>
      <c r="M208" s="1" t="s">
        <v>58</v>
      </c>
      <c r="N208" s="1" t="s">
        <v>32</v>
      </c>
      <c r="O208" t="str">
        <f t="shared" si="12"/>
        <v>Jan</v>
      </c>
      <c r="P208" t="str">
        <f t="shared" si="13"/>
        <v>2026</v>
      </c>
      <c r="Q208" s="25">
        <f t="shared" si="14"/>
        <v>65</v>
      </c>
      <c r="R208" s="29">
        <f t="shared" si="15"/>
        <v>455</v>
      </c>
    </row>
    <row r="209" spans="1:18" x14ac:dyDescent="0.25">
      <c r="A209" s="5" t="s">
        <v>436</v>
      </c>
      <c r="B209" s="3" t="s">
        <v>179</v>
      </c>
      <c r="C209" s="1" t="s">
        <v>96</v>
      </c>
      <c r="D209" s="1" t="s">
        <v>36</v>
      </c>
      <c r="E209" s="1">
        <v>44</v>
      </c>
      <c r="F209" s="1" t="s">
        <v>29</v>
      </c>
      <c r="G209" s="1" t="s">
        <v>30</v>
      </c>
      <c r="H209" s="1" t="s">
        <v>68</v>
      </c>
      <c r="I209" s="1" t="s">
        <v>69</v>
      </c>
      <c r="J209" s="1">
        <v>4</v>
      </c>
      <c r="K209" s="27">
        <v>2</v>
      </c>
      <c r="L209" s="27">
        <v>0.15</v>
      </c>
      <c r="M209" s="1" t="s">
        <v>24</v>
      </c>
      <c r="N209" s="1" t="s">
        <v>51</v>
      </c>
      <c r="O209" t="str">
        <f t="shared" si="12"/>
        <v>Jan</v>
      </c>
      <c r="P209" t="str">
        <f t="shared" si="13"/>
        <v>2026</v>
      </c>
      <c r="Q209" s="25">
        <f t="shared" si="14"/>
        <v>52</v>
      </c>
      <c r="R209" s="29">
        <f t="shared" si="15"/>
        <v>176.79999999999998</v>
      </c>
    </row>
    <row r="210" spans="1:18" x14ac:dyDescent="0.25">
      <c r="A210" s="5" t="s">
        <v>437</v>
      </c>
      <c r="B210" s="3" t="s">
        <v>27</v>
      </c>
      <c r="C210" s="1" t="s">
        <v>108</v>
      </c>
      <c r="D210" s="1" t="s">
        <v>36</v>
      </c>
      <c r="E210" s="1">
        <v>28</v>
      </c>
      <c r="F210" s="1" t="s">
        <v>29</v>
      </c>
      <c r="G210" s="1" t="s">
        <v>30</v>
      </c>
      <c r="H210" s="1" t="s">
        <v>49</v>
      </c>
      <c r="I210" s="1" t="s">
        <v>50</v>
      </c>
      <c r="J210" s="1">
        <v>6</v>
      </c>
      <c r="K210" s="27">
        <v>120</v>
      </c>
      <c r="L210" s="27">
        <v>0.1</v>
      </c>
      <c r="M210" s="1" t="s">
        <v>93</v>
      </c>
      <c r="N210" s="1" t="s">
        <v>55</v>
      </c>
      <c r="O210" t="str">
        <f t="shared" si="12"/>
        <v>Mar</v>
      </c>
      <c r="P210" t="str">
        <f t="shared" si="13"/>
        <v>2026</v>
      </c>
      <c r="Q210" s="25">
        <f t="shared" si="14"/>
        <v>170</v>
      </c>
      <c r="R210" s="29">
        <f t="shared" si="15"/>
        <v>918</v>
      </c>
    </row>
    <row r="211" spans="1:18" x14ac:dyDescent="0.25">
      <c r="A211" s="5" t="s">
        <v>438</v>
      </c>
      <c r="B211" s="3" t="s">
        <v>64</v>
      </c>
      <c r="C211" s="1" t="s">
        <v>258</v>
      </c>
      <c r="D211" s="1" t="s">
        <v>36</v>
      </c>
      <c r="E211" s="1">
        <v>25</v>
      </c>
      <c r="F211" s="1" t="s">
        <v>43</v>
      </c>
      <c r="G211" s="1" t="s">
        <v>44</v>
      </c>
      <c r="H211" s="1" t="s">
        <v>62</v>
      </c>
      <c r="I211" s="1" t="s">
        <v>23</v>
      </c>
      <c r="J211" s="1">
        <v>7</v>
      </c>
      <c r="K211" s="27">
        <v>15</v>
      </c>
      <c r="L211" s="27">
        <v>0.05</v>
      </c>
      <c r="M211" s="1" t="s">
        <v>31</v>
      </c>
      <c r="N211" s="1" t="s">
        <v>51</v>
      </c>
      <c r="O211" t="str">
        <f t="shared" si="12"/>
        <v>Apr</v>
      </c>
      <c r="P211" t="str">
        <f t="shared" si="13"/>
        <v>2026</v>
      </c>
      <c r="Q211" s="25">
        <f t="shared" si="14"/>
        <v>65</v>
      </c>
      <c r="R211" s="29">
        <f t="shared" si="15"/>
        <v>432.25</v>
      </c>
    </row>
    <row r="212" spans="1:18" x14ac:dyDescent="0.25">
      <c r="A212" s="5" t="s">
        <v>439</v>
      </c>
      <c r="B212" s="3" t="s">
        <v>162</v>
      </c>
      <c r="C212" s="1" t="s">
        <v>240</v>
      </c>
      <c r="D212" s="1" t="s">
        <v>36</v>
      </c>
      <c r="E212" s="1">
        <v>29</v>
      </c>
      <c r="F212" s="1" t="s">
        <v>88</v>
      </c>
      <c r="G212" s="1" t="s">
        <v>89</v>
      </c>
      <c r="H212" s="1" t="s">
        <v>49</v>
      </c>
      <c r="I212" s="1" t="s">
        <v>50</v>
      </c>
      <c r="J212" s="1">
        <v>5</v>
      </c>
      <c r="K212" s="27">
        <v>120</v>
      </c>
      <c r="L212" s="27">
        <v>0.15</v>
      </c>
      <c r="M212" s="1" t="s">
        <v>31</v>
      </c>
      <c r="N212" s="1" t="s">
        <v>32</v>
      </c>
      <c r="O212" t="str">
        <f t="shared" si="12"/>
        <v>Apr</v>
      </c>
      <c r="P212" t="str">
        <f t="shared" si="13"/>
        <v>2026</v>
      </c>
      <c r="Q212" s="25">
        <f t="shared" si="14"/>
        <v>170</v>
      </c>
      <c r="R212" s="29">
        <f t="shared" si="15"/>
        <v>722.5</v>
      </c>
    </row>
    <row r="213" spans="1:18" x14ac:dyDescent="0.25">
      <c r="A213" s="5" t="s">
        <v>440</v>
      </c>
      <c r="B213" s="3" t="s">
        <v>170</v>
      </c>
      <c r="C213" s="1" t="s">
        <v>350</v>
      </c>
      <c r="D213" s="1" t="s">
        <v>36</v>
      </c>
      <c r="E213" s="1">
        <v>18</v>
      </c>
      <c r="F213" s="1" t="s">
        <v>29</v>
      </c>
      <c r="G213" s="1" t="s">
        <v>30</v>
      </c>
      <c r="H213" s="1" t="s">
        <v>68</v>
      </c>
      <c r="I213" s="1" t="s">
        <v>69</v>
      </c>
      <c r="J213" s="1">
        <v>4</v>
      </c>
      <c r="K213" s="27">
        <v>2</v>
      </c>
      <c r="L213" s="27">
        <v>0.1</v>
      </c>
      <c r="M213" s="1" t="s">
        <v>93</v>
      </c>
      <c r="N213" s="1" t="s">
        <v>32</v>
      </c>
      <c r="O213" t="str">
        <f t="shared" si="12"/>
        <v>May</v>
      </c>
      <c r="P213" t="str">
        <f t="shared" si="13"/>
        <v>2026</v>
      </c>
      <c r="Q213" s="25">
        <f t="shared" si="14"/>
        <v>52</v>
      </c>
      <c r="R213" s="29">
        <f t="shared" si="15"/>
        <v>187.20000000000002</v>
      </c>
    </row>
    <row r="214" spans="1:18" x14ac:dyDescent="0.25">
      <c r="A214" s="5" t="s">
        <v>441</v>
      </c>
      <c r="B214" s="3" t="s">
        <v>41</v>
      </c>
      <c r="C214" s="1" t="s">
        <v>303</v>
      </c>
      <c r="D214" s="1" t="s">
        <v>36</v>
      </c>
      <c r="E214" s="1">
        <v>43</v>
      </c>
      <c r="F214" s="1" t="s">
        <v>37</v>
      </c>
      <c r="G214" s="1" t="s">
        <v>38</v>
      </c>
      <c r="H214" s="1" t="s">
        <v>73</v>
      </c>
      <c r="I214" s="1" t="s">
        <v>69</v>
      </c>
      <c r="J214" s="1">
        <v>8</v>
      </c>
      <c r="K214" s="27">
        <v>5</v>
      </c>
      <c r="L214" s="27">
        <v>0.1</v>
      </c>
      <c r="M214" s="1" t="s">
        <v>39</v>
      </c>
      <c r="N214" s="1" t="s">
        <v>51</v>
      </c>
      <c r="O214" t="str">
        <f t="shared" si="12"/>
        <v>May</v>
      </c>
      <c r="P214" t="str">
        <f t="shared" si="13"/>
        <v>2026</v>
      </c>
      <c r="Q214" s="25">
        <f t="shared" si="14"/>
        <v>55</v>
      </c>
      <c r="R214" s="29">
        <f t="shared" si="15"/>
        <v>396</v>
      </c>
    </row>
    <row r="215" spans="1:18" x14ac:dyDescent="0.25">
      <c r="A215" s="5" t="s">
        <v>442</v>
      </c>
      <c r="B215" s="3" t="s">
        <v>328</v>
      </c>
      <c r="C215" s="1" t="s">
        <v>102</v>
      </c>
      <c r="D215" s="1" t="s">
        <v>36</v>
      </c>
      <c r="E215" s="1">
        <v>41</v>
      </c>
      <c r="F215" s="1" t="s">
        <v>29</v>
      </c>
      <c r="G215" s="1" t="s">
        <v>30</v>
      </c>
      <c r="H215" s="1" t="s">
        <v>62</v>
      </c>
      <c r="I215" s="1" t="s">
        <v>23</v>
      </c>
      <c r="J215" s="1">
        <v>10</v>
      </c>
      <c r="K215" s="27">
        <v>15</v>
      </c>
      <c r="L215" s="27">
        <v>0.15</v>
      </c>
      <c r="M215" s="1" t="s">
        <v>58</v>
      </c>
      <c r="N215" s="1" t="s">
        <v>32</v>
      </c>
      <c r="O215" t="str">
        <f t="shared" si="12"/>
        <v>May</v>
      </c>
      <c r="P215" t="str">
        <f t="shared" si="13"/>
        <v>2026</v>
      </c>
      <c r="Q215" s="25">
        <f t="shared" si="14"/>
        <v>65</v>
      </c>
      <c r="R215" s="29">
        <f t="shared" si="15"/>
        <v>552.5</v>
      </c>
    </row>
    <row r="216" spans="1:18" x14ac:dyDescent="0.25">
      <c r="A216" s="5" t="s">
        <v>443</v>
      </c>
      <c r="B216" s="3" t="s">
        <v>164</v>
      </c>
      <c r="C216" s="1" t="s">
        <v>149</v>
      </c>
      <c r="D216" s="1" t="s">
        <v>19</v>
      </c>
      <c r="E216" s="1">
        <v>31</v>
      </c>
      <c r="F216" s="1" t="s">
        <v>37</v>
      </c>
      <c r="G216" s="1" t="s">
        <v>38</v>
      </c>
      <c r="H216" s="1" t="s">
        <v>62</v>
      </c>
      <c r="I216" s="1" t="s">
        <v>23</v>
      </c>
      <c r="J216" s="1">
        <v>10</v>
      </c>
      <c r="K216" s="27">
        <v>15</v>
      </c>
      <c r="L216" s="27">
        <v>0.05</v>
      </c>
      <c r="M216" s="1" t="s">
        <v>31</v>
      </c>
      <c r="N216" s="1" t="s">
        <v>55</v>
      </c>
      <c r="O216" t="str">
        <f t="shared" si="12"/>
        <v>Feb</v>
      </c>
      <c r="P216" t="str">
        <f t="shared" si="13"/>
        <v>2026</v>
      </c>
      <c r="Q216" s="25">
        <f t="shared" si="14"/>
        <v>65</v>
      </c>
      <c r="R216" s="29">
        <f t="shared" si="15"/>
        <v>617.5</v>
      </c>
    </row>
    <row r="217" spans="1:18" x14ac:dyDescent="0.25">
      <c r="A217" s="5" t="s">
        <v>444</v>
      </c>
      <c r="B217" s="3" t="s">
        <v>401</v>
      </c>
      <c r="C217" s="1" t="s">
        <v>258</v>
      </c>
      <c r="D217" s="1" t="s">
        <v>36</v>
      </c>
      <c r="E217" s="1">
        <v>40</v>
      </c>
      <c r="F217" s="1" t="s">
        <v>88</v>
      </c>
      <c r="G217" s="1" t="s">
        <v>89</v>
      </c>
      <c r="H217" s="1" t="s">
        <v>68</v>
      </c>
      <c r="I217" s="1" t="s">
        <v>69</v>
      </c>
      <c r="J217" s="1">
        <v>9</v>
      </c>
      <c r="K217" s="27">
        <v>2</v>
      </c>
      <c r="L217" s="27">
        <v>0.1</v>
      </c>
      <c r="M217" s="1" t="s">
        <v>45</v>
      </c>
      <c r="N217" s="1" t="s">
        <v>32</v>
      </c>
      <c r="O217" t="str">
        <f t="shared" si="12"/>
        <v>May</v>
      </c>
      <c r="P217" t="str">
        <f t="shared" si="13"/>
        <v>2026</v>
      </c>
      <c r="Q217" s="25">
        <f t="shared" si="14"/>
        <v>52</v>
      </c>
      <c r="R217" s="29">
        <f t="shared" si="15"/>
        <v>421.2</v>
      </c>
    </row>
    <row r="218" spans="1:18" x14ac:dyDescent="0.25">
      <c r="A218" s="5" t="s">
        <v>445</v>
      </c>
      <c r="B218" s="3" t="s">
        <v>423</v>
      </c>
      <c r="C218" s="1" t="s">
        <v>48</v>
      </c>
      <c r="D218" s="1" t="s">
        <v>36</v>
      </c>
      <c r="E218" s="1">
        <v>21</v>
      </c>
      <c r="F218" s="1" t="s">
        <v>29</v>
      </c>
      <c r="G218" s="1" t="s">
        <v>30</v>
      </c>
      <c r="H218" s="1" t="s">
        <v>73</v>
      </c>
      <c r="I218" s="1" t="s">
        <v>69</v>
      </c>
      <c r="J218" s="1">
        <v>4</v>
      </c>
      <c r="K218" s="27">
        <v>5</v>
      </c>
      <c r="L218" s="27">
        <v>0.05</v>
      </c>
      <c r="M218" s="1" t="s">
        <v>31</v>
      </c>
      <c r="N218" s="1" t="s">
        <v>51</v>
      </c>
      <c r="O218" t="str">
        <f t="shared" si="12"/>
        <v>Jan</v>
      </c>
      <c r="P218" t="str">
        <f t="shared" si="13"/>
        <v>2026</v>
      </c>
      <c r="Q218" s="25">
        <f t="shared" si="14"/>
        <v>55</v>
      </c>
      <c r="R218" s="29">
        <f t="shared" si="15"/>
        <v>209</v>
      </c>
    </row>
    <row r="219" spans="1:18" x14ac:dyDescent="0.25">
      <c r="A219" s="5" t="s">
        <v>446</v>
      </c>
      <c r="B219" s="3" t="s">
        <v>197</v>
      </c>
      <c r="C219" s="1" t="s">
        <v>54</v>
      </c>
      <c r="D219" s="1" t="s">
        <v>19</v>
      </c>
      <c r="E219" s="1">
        <v>31</v>
      </c>
      <c r="F219" s="1" t="s">
        <v>20</v>
      </c>
      <c r="G219" s="1" t="s">
        <v>21</v>
      </c>
      <c r="H219" s="1" t="s">
        <v>49</v>
      </c>
      <c r="I219" s="1" t="s">
        <v>50</v>
      </c>
      <c r="J219" s="1">
        <v>1</v>
      </c>
      <c r="K219" s="27">
        <v>120</v>
      </c>
      <c r="L219" s="27">
        <v>0.15</v>
      </c>
      <c r="M219" s="1" t="s">
        <v>45</v>
      </c>
      <c r="N219" s="1" t="s">
        <v>25</v>
      </c>
      <c r="O219" t="str">
        <f t="shared" si="12"/>
        <v>Mar</v>
      </c>
      <c r="P219" t="str">
        <f t="shared" si="13"/>
        <v>2026</v>
      </c>
      <c r="Q219" s="25">
        <f t="shared" si="14"/>
        <v>170</v>
      </c>
      <c r="R219" s="29">
        <f t="shared" si="15"/>
        <v>144.5</v>
      </c>
    </row>
    <row r="220" spans="1:18" x14ac:dyDescent="0.25">
      <c r="A220" s="5" t="s">
        <v>447</v>
      </c>
      <c r="B220" s="3" t="s">
        <v>448</v>
      </c>
      <c r="C220" s="1" t="s">
        <v>117</v>
      </c>
      <c r="D220" s="1" t="s">
        <v>36</v>
      </c>
      <c r="E220" s="1">
        <v>37</v>
      </c>
      <c r="F220" s="1" t="s">
        <v>37</v>
      </c>
      <c r="G220" s="1" t="s">
        <v>38</v>
      </c>
      <c r="H220" s="1" t="s">
        <v>118</v>
      </c>
      <c r="I220" s="1" t="s">
        <v>23</v>
      </c>
      <c r="J220" s="1">
        <v>3</v>
      </c>
      <c r="K220" s="27">
        <v>180</v>
      </c>
      <c r="L220" s="27">
        <v>0.1</v>
      </c>
      <c r="M220" s="1" t="s">
        <v>58</v>
      </c>
      <c r="N220" s="1" t="s">
        <v>32</v>
      </c>
      <c r="O220" t="str">
        <f t="shared" si="12"/>
        <v>Mar</v>
      </c>
      <c r="P220" t="str">
        <f t="shared" si="13"/>
        <v>2026</v>
      </c>
      <c r="Q220" s="25">
        <f t="shared" si="14"/>
        <v>230</v>
      </c>
      <c r="R220" s="29">
        <f t="shared" si="15"/>
        <v>621</v>
      </c>
    </row>
    <row r="221" spans="1:18" x14ac:dyDescent="0.25">
      <c r="A221" s="5" t="s">
        <v>449</v>
      </c>
      <c r="B221" s="3" t="s">
        <v>398</v>
      </c>
      <c r="C221" s="1" t="s">
        <v>258</v>
      </c>
      <c r="D221" s="1" t="s">
        <v>36</v>
      </c>
      <c r="E221" s="1">
        <v>24</v>
      </c>
      <c r="F221" s="1" t="s">
        <v>20</v>
      </c>
      <c r="G221" s="1" t="s">
        <v>21</v>
      </c>
      <c r="H221" s="1" t="s">
        <v>49</v>
      </c>
      <c r="I221" s="1" t="s">
        <v>50</v>
      </c>
      <c r="J221" s="1">
        <v>10</v>
      </c>
      <c r="K221" s="27">
        <v>120</v>
      </c>
      <c r="L221" s="27">
        <v>0.15</v>
      </c>
      <c r="M221" s="1" t="s">
        <v>58</v>
      </c>
      <c r="N221" s="1" t="s">
        <v>32</v>
      </c>
      <c r="O221" t="str">
        <f t="shared" si="12"/>
        <v>Jan</v>
      </c>
      <c r="P221" t="str">
        <f t="shared" si="13"/>
        <v>2026</v>
      </c>
      <c r="Q221" s="25">
        <f t="shared" si="14"/>
        <v>170</v>
      </c>
      <c r="R221" s="29">
        <f t="shared" si="15"/>
        <v>1445</v>
      </c>
    </row>
    <row r="222" spans="1:18" x14ac:dyDescent="0.25">
      <c r="A222" s="5" t="s">
        <v>450</v>
      </c>
      <c r="B222" s="3" t="s">
        <v>451</v>
      </c>
      <c r="C222" s="1" t="s">
        <v>48</v>
      </c>
      <c r="D222" s="1" t="s">
        <v>19</v>
      </c>
      <c r="E222" s="1">
        <v>37</v>
      </c>
      <c r="F222" s="1" t="s">
        <v>29</v>
      </c>
      <c r="G222" s="1" t="s">
        <v>30</v>
      </c>
      <c r="H222" s="1" t="s">
        <v>49</v>
      </c>
      <c r="I222" s="1" t="s">
        <v>50</v>
      </c>
      <c r="J222" s="1">
        <v>3</v>
      </c>
      <c r="K222" s="27">
        <v>120</v>
      </c>
      <c r="L222" s="27">
        <v>0</v>
      </c>
      <c r="M222" s="1" t="s">
        <v>39</v>
      </c>
      <c r="N222" s="1" t="s">
        <v>51</v>
      </c>
      <c r="O222" t="str">
        <f t="shared" si="12"/>
        <v>Jun</v>
      </c>
      <c r="P222" t="str">
        <f t="shared" si="13"/>
        <v>2026</v>
      </c>
      <c r="Q222" s="25">
        <f t="shared" si="14"/>
        <v>170</v>
      </c>
      <c r="R222" s="29">
        <f t="shared" si="15"/>
        <v>510</v>
      </c>
    </row>
    <row r="223" spans="1:18" x14ac:dyDescent="0.25">
      <c r="A223" s="5" t="s">
        <v>452</v>
      </c>
      <c r="B223" s="3" t="s">
        <v>453</v>
      </c>
      <c r="C223" s="1" t="s">
        <v>158</v>
      </c>
      <c r="D223" s="1" t="s">
        <v>36</v>
      </c>
      <c r="E223" s="1">
        <v>27</v>
      </c>
      <c r="F223" s="1" t="s">
        <v>29</v>
      </c>
      <c r="G223" s="1" t="s">
        <v>30</v>
      </c>
      <c r="H223" s="1" t="s">
        <v>62</v>
      </c>
      <c r="I223" s="1" t="s">
        <v>23</v>
      </c>
      <c r="J223" s="1">
        <v>3</v>
      </c>
      <c r="K223" s="27">
        <v>15</v>
      </c>
      <c r="L223" s="27">
        <v>0</v>
      </c>
      <c r="M223" s="1" t="s">
        <v>31</v>
      </c>
      <c r="N223" s="1" t="s">
        <v>32</v>
      </c>
      <c r="O223" t="str">
        <f t="shared" si="12"/>
        <v>Feb</v>
      </c>
      <c r="P223" t="str">
        <f t="shared" si="13"/>
        <v>2026</v>
      </c>
      <c r="Q223" s="25">
        <f t="shared" si="14"/>
        <v>65</v>
      </c>
      <c r="R223" s="29">
        <f t="shared" si="15"/>
        <v>195</v>
      </c>
    </row>
    <row r="224" spans="1:18" x14ac:dyDescent="0.25">
      <c r="A224" s="5" t="s">
        <v>454</v>
      </c>
      <c r="B224" s="3" t="s">
        <v>197</v>
      </c>
      <c r="C224" s="1" t="s">
        <v>35</v>
      </c>
      <c r="D224" s="1" t="s">
        <v>19</v>
      </c>
      <c r="E224" s="1">
        <v>59</v>
      </c>
      <c r="F224" s="1" t="s">
        <v>20</v>
      </c>
      <c r="G224" s="1" t="s">
        <v>21</v>
      </c>
      <c r="H224" s="1" t="s">
        <v>62</v>
      </c>
      <c r="I224" s="1" t="s">
        <v>23</v>
      </c>
      <c r="J224" s="1">
        <v>7</v>
      </c>
      <c r="K224" s="27">
        <v>15</v>
      </c>
      <c r="L224" s="27">
        <v>0.15</v>
      </c>
      <c r="M224" s="1" t="s">
        <v>39</v>
      </c>
      <c r="N224" s="1" t="s">
        <v>55</v>
      </c>
      <c r="O224" t="str">
        <f t="shared" si="12"/>
        <v>Mar</v>
      </c>
      <c r="P224" t="str">
        <f t="shared" si="13"/>
        <v>2026</v>
      </c>
      <c r="Q224" s="25">
        <f t="shared" si="14"/>
        <v>65</v>
      </c>
      <c r="R224" s="29">
        <f t="shared" si="15"/>
        <v>386.75</v>
      </c>
    </row>
    <row r="225" spans="1:18" x14ac:dyDescent="0.25">
      <c r="A225" s="5" t="s">
        <v>455</v>
      </c>
      <c r="B225" s="3" t="s">
        <v>216</v>
      </c>
      <c r="C225" s="1" t="s">
        <v>114</v>
      </c>
      <c r="D225" s="1" t="s">
        <v>36</v>
      </c>
      <c r="E225" s="1">
        <v>40</v>
      </c>
      <c r="F225" s="1" t="s">
        <v>88</v>
      </c>
      <c r="G225" s="1" t="s">
        <v>89</v>
      </c>
      <c r="H225" s="1" t="s">
        <v>62</v>
      </c>
      <c r="I225" s="1" t="s">
        <v>23</v>
      </c>
      <c r="J225" s="1">
        <v>4</v>
      </c>
      <c r="K225" s="27">
        <v>15</v>
      </c>
      <c r="L225" s="27">
        <v>0.1</v>
      </c>
      <c r="M225" s="1" t="s">
        <v>24</v>
      </c>
      <c r="N225" s="1" t="s">
        <v>32</v>
      </c>
      <c r="O225" t="str">
        <f t="shared" si="12"/>
        <v>Jun</v>
      </c>
      <c r="P225" t="str">
        <f t="shared" si="13"/>
        <v>2026</v>
      </c>
      <c r="Q225" s="25">
        <f t="shared" si="14"/>
        <v>65</v>
      </c>
      <c r="R225" s="29">
        <f t="shared" si="15"/>
        <v>234</v>
      </c>
    </row>
    <row r="226" spans="1:18" x14ac:dyDescent="0.25">
      <c r="A226" s="5" t="s">
        <v>456</v>
      </c>
      <c r="B226" s="3" t="s">
        <v>75</v>
      </c>
      <c r="C226" s="1" t="s">
        <v>82</v>
      </c>
      <c r="D226" s="1" t="s">
        <v>19</v>
      </c>
      <c r="E226" s="1">
        <v>21</v>
      </c>
      <c r="F226" s="1" t="s">
        <v>29</v>
      </c>
      <c r="G226" s="1" t="s">
        <v>30</v>
      </c>
      <c r="H226" s="1" t="s">
        <v>79</v>
      </c>
      <c r="I226" s="1" t="s">
        <v>23</v>
      </c>
      <c r="J226" s="1">
        <v>7</v>
      </c>
      <c r="K226" s="27">
        <v>500</v>
      </c>
      <c r="L226" s="27">
        <v>0</v>
      </c>
      <c r="M226" s="1" t="s">
        <v>58</v>
      </c>
      <c r="N226" s="1" t="s">
        <v>55</v>
      </c>
      <c r="O226" t="str">
        <f t="shared" si="12"/>
        <v>Jan</v>
      </c>
      <c r="P226" t="str">
        <f t="shared" si="13"/>
        <v>2026</v>
      </c>
      <c r="Q226" s="25">
        <f t="shared" si="14"/>
        <v>550</v>
      </c>
      <c r="R226" s="29">
        <f t="shared" si="15"/>
        <v>3850</v>
      </c>
    </row>
    <row r="227" spans="1:18" x14ac:dyDescent="0.25">
      <c r="A227" s="5" t="s">
        <v>457</v>
      </c>
      <c r="B227" s="3" t="s">
        <v>458</v>
      </c>
      <c r="C227" s="1" t="s">
        <v>28</v>
      </c>
      <c r="D227" s="1" t="s">
        <v>36</v>
      </c>
      <c r="E227" s="1">
        <v>31</v>
      </c>
      <c r="F227" s="1" t="s">
        <v>37</v>
      </c>
      <c r="G227" s="1" t="s">
        <v>38</v>
      </c>
      <c r="H227" s="1" t="s">
        <v>22</v>
      </c>
      <c r="I227" s="1" t="s">
        <v>23</v>
      </c>
      <c r="J227" s="1">
        <v>3</v>
      </c>
      <c r="K227" s="27">
        <v>850</v>
      </c>
      <c r="L227" s="27">
        <v>0.15</v>
      </c>
      <c r="M227" s="1" t="s">
        <v>24</v>
      </c>
      <c r="N227" s="1" t="s">
        <v>25</v>
      </c>
      <c r="O227" t="str">
        <f t="shared" si="12"/>
        <v>May</v>
      </c>
      <c r="P227" t="str">
        <f t="shared" si="13"/>
        <v>2026</v>
      </c>
      <c r="Q227" s="25">
        <f t="shared" si="14"/>
        <v>900</v>
      </c>
      <c r="R227" s="29">
        <f t="shared" si="15"/>
        <v>2295</v>
      </c>
    </row>
    <row r="228" spans="1:18" x14ac:dyDescent="0.25">
      <c r="A228" s="5" t="s">
        <v>459</v>
      </c>
      <c r="B228" s="3" t="s">
        <v>197</v>
      </c>
      <c r="C228" s="1" t="s">
        <v>289</v>
      </c>
      <c r="D228" s="1" t="s">
        <v>36</v>
      </c>
      <c r="E228" s="1">
        <v>30</v>
      </c>
      <c r="F228" s="1" t="s">
        <v>20</v>
      </c>
      <c r="G228" s="1" t="s">
        <v>21</v>
      </c>
      <c r="H228" s="1" t="s">
        <v>118</v>
      </c>
      <c r="I228" s="1" t="s">
        <v>23</v>
      </c>
      <c r="J228" s="1">
        <v>1</v>
      </c>
      <c r="K228" s="27">
        <v>180</v>
      </c>
      <c r="L228" s="27">
        <v>0.15</v>
      </c>
      <c r="M228" s="1" t="s">
        <v>45</v>
      </c>
      <c r="N228" s="1" t="s">
        <v>25</v>
      </c>
      <c r="O228" t="str">
        <f t="shared" si="12"/>
        <v>Mar</v>
      </c>
      <c r="P228" t="str">
        <f t="shared" si="13"/>
        <v>2026</v>
      </c>
      <c r="Q228" s="25">
        <f t="shared" si="14"/>
        <v>230</v>
      </c>
      <c r="R228" s="29">
        <f t="shared" si="15"/>
        <v>195.5</v>
      </c>
    </row>
    <row r="229" spans="1:18" x14ac:dyDescent="0.25">
      <c r="A229" s="5" t="s">
        <v>460</v>
      </c>
      <c r="B229" s="3" t="s">
        <v>461</v>
      </c>
      <c r="C229" s="1" t="s">
        <v>149</v>
      </c>
      <c r="D229" s="1" t="s">
        <v>36</v>
      </c>
      <c r="E229" s="1">
        <v>22</v>
      </c>
      <c r="F229" s="1" t="s">
        <v>88</v>
      </c>
      <c r="G229" s="1" t="s">
        <v>89</v>
      </c>
      <c r="H229" s="1" t="s">
        <v>73</v>
      </c>
      <c r="I229" s="1" t="s">
        <v>69</v>
      </c>
      <c r="J229" s="1">
        <v>5</v>
      </c>
      <c r="K229" s="27">
        <v>5</v>
      </c>
      <c r="L229" s="27">
        <v>0</v>
      </c>
      <c r="M229" s="1" t="s">
        <v>39</v>
      </c>
      <c r="N229" s="1" t="s">
        <v>25</v>
      </c>
      <c r="O229" t="str">
        <f t="shared" si="12"/>
        <v>Apr</v>
      </c>
      <c r="P229" t="str">
        <f t="shared" si="13"/>
        <v>2026</v>
      </c>
      <c r="Q229" s="25">
        <f t="shared" si="14"/>
        <v>55</v>
      </c>
      <c r="R229" s="29">
        <f t="shared" si="15"/>
        <v>275</v>
      </c>
    </row>
    <row r="230" spans="1:18" x14ac:dyDescent="0.25">
      <c r="A230" s="5" t="s">
        <v>462</v>
      </c>
      <c r="B230" s="3" t="s">
        <v>212</v>
      </c>
      <c r="C230" s="1" t="s">
        <v>182</v>
      </c>
      <c r="D230" s="1" t="s">
        <v>36</v>
      </c>
      <c r="E230" s="1">
        <v>38</v>
      </c>
      <c r="F230" s="1" t="s">
        <v>29</v>
      </c>
      <c r="G230" s="1" t="s">
        <v>30</v>
      </c>
      <c r="H230" s="1" t="s">
        <v>62</v>
      </c>
      <c r="I230" s="1" t="s">
        <v>23</v>
      </c>
      <c r="J230" s="1">
        <v>3</v>
      </c>
      <c r="K230" s="27">
        <v>15</v>
      </c>
      <c r="L230" s="27">
        <v>0.1</v>
      </c>
      <c r="M230" s="1" t="s">
        <v>93</v>
      </c>
      <c r="N230" s="1" t="s">
        <v>55</v>
      </c>
      <c r="O230" t="str">
        <f t="shared" si="12"/>
        <v>Apr</v>
      </c>
      <c r="P230" t="str">
        <f t="shared" si="13"/>
        <v>2026</v>
      </c>
      <c r="Q230" s="25">
        <f t="shared" si="14"/>
        <v>65</v>
      </c>
      <c r="R230" s="29">
        <f t="shared" si="15"/>
        <v>175.5</v>
      </c>
    </row>
    <row r="231" spans="1:18" x14ac:dyDescent="0.25">
      <c r="A231" s="5" t="s">
        <v>463</v>
      </c>
      <c r="B231" s="3" t="s">
        <v>323</v>
      </c>
      <c r="C231" s="1" t="s">
        <v>268</v>
      </c>
      <c r="D231" s="1" t="s">
        <v>36</v>
      </c>
      <c r="E231" s="1">
        <v>55</v>
      </c>
      <c r="F231" s="1" t="s">
        <v>88</v>
      </c>
      <c r="G231" s="1" t="s">
        <v>89</v>
      </c>
      <c r="H231" s="1" t="s">
        <v>79</v>
      </c>
      <c r="I231" s="1" t="s">
        <v>23</v>
      </c>
      <c r="J231" s="1">
        <v>1</v>
      </c>
      <c r="K231" s="27">
        <v>500</v>
      </c>
      <c r="L231" s="27">
        <v>0.05</v>
      </c>
      <c r="M231" s="1" t="s">
        <v>39</v>
      </c>
      <c r="N231" s="1" t="s">
        <v>51</v>
      </c>
      <c r="O231" t="str">
        <f t="shared" si="12"/>
        <v>Jun</v>
      </c>
      <c r="P231" t="str">
        <f t="shared" si="13"/>
        <v>2026</v>
      </c>
      <c r="Q231" s="25">
        <f t="shared" si="14"/>
        <v>550</v>
      </c>
      <c r="R231" s="29">
        <f t="shared" si="15"/>
        <v>522.5</v>
      </c>
    </row>
    <row r="232" spans="1:18" x14ac:dyDescent="0.25">
      <c r="A232" s="5" t="s">
        <v>464</v>
      </c>
      <c r="B232" s="3" t="s">
        <v>122</v>
      </c>
      <c r="C232" s="1" t="s">
        <v>117</v>
      </c>
      <c r="D232" s="1" t="s">
        <v>36</v>
      </c>
      <c r="E232" s="1">
        <v>38</v>
      </c>
      <c r="F232" s="1" t="s">
        <v>43</v>
      </c>
      <c r="G232" s="1" t="s">
        <v>44</v>
      </c>
      <c r="H232" s="1" t="s">
        <v>62</v>
      </c>
      <c r="I232" s="1" t="s">
        <v>23</v>
      </c>
      <c r="J232" s="1">
        <v>3</v>
      </c>
      <c r="K232" s="27">
        <v>15</v>
      </c>
      <c r="L232" s="27">
        <v>0.05</v>
      </c>
      <c r="M232" s="1" t="s">
        <v>58</v>
      </c>
      <c r="N232" s="1" t="s">
        <v>25</v>
      </c>
      <c r="O232" t="str">
        <f t="shared" si="12"/>
        <v>Mar</v>
      </c>
      <c r="P232" t="str">
        <f t="shared" si="13"/>
        <v>2026</v>
      </c>
      <c r="Q232" s="25">
        <f t="shared" si="14"/>
        <v>65</v>
      </c>
      <c r="R232" s="29">
        <f t="shared" si="15"/>
        <v>185.25</v>
      </c>
    </row>
    <row r="233" spans="1:18" x14ac:dyDescent="0.25">
      <c r="A233" s="5" t="s">
        <v>465</v>
      </c>
      <c r="B233" s="3" t="s">
        <v>299</v>
      </c>
      <c r="C233" s="1" t="s">
        <v>318</v>
      </c>
      <c r="D233" s="1" t="s">
        <v>19</v>
      </c>
      <c r="E233" s="1">
        <v>20</v>
      </c>
      <c r="F233" s="1" t="s">
        <v>20</v>
      </c>
      <c r="G233" s="1" t="s">
        <v>21</v>
      </c>
      <c r="H233" s="1" t="s">
        <v>109</v>
      </c>
      <c r="I233" s="1" t="s">
        <v>50</v>
      </c>
      <c r="J233" s="1">
        <v>3</v>
      </c>
      <c r="K233" s="27">
        <v>80</v>
      </c>
      <c r="L233" s="27">
        <v>0.1</v>
      </c>
      <c r="M233" s="1" t="s">
        <v>58</v>
      </c>
      <c r="N233" s="1" t="s">
        <v>32</v>
      </c>
      <c r="O233" t="str">
        <f t="shared" si="12"/>
        <v>Apr</v>
      </c>
      <c r="P233" t="str">
        <f t="shared" si="13"/>
        <v>2026</v>
      </c>
      <c r="Q233" s="25">
        <f t="shared" si="14"/>
        <v>130</v>
      </c>
      <c r="R233" s="29">
        <f t="shared" si="15"/>
        <v>351</v>
      </c>
    </row>
    <row r="234" spans="1:18" x14ac:dyDescent="0.25">
      <c r="A234" s="5" t="s">
        <v>466</v>
      </c>
      <c r="B234" s="3" t="s">
        <v>321</v>
      </c>
      <c r="C234" s="1" t="s">
        <v>165</v>
      </c>
      <c r="D234" s="1" t="s">
        <v>36</v>
      </c>
      <c r="E234" s="1">
        <v>44</v>
      </c>
      <c r="F234" s="1" t="s">
        <v>43</v>
      </c>
      <c r="G234" s="1" t="s">
        <v>44</v>
      </c>
      <c r="H234" s="1" t="s">
        <v>118</v>
      </c>
      <c r="I234" s="1" t="s">
        <v>23</v>
      </c>
      <c r="J234" s="1">
        <v>9</v>
      </c>
      <c r="K234" s="27">
        <v>180</v>
      </c>
      <c r="L234" s="27">
        <v>0</v>
      </c>
      <c r="M234" s="1" t="s">
        <v>58</v>
      </c>
      <c r="N234" s="1" t="s">
        <v>25</v>
      </c>
      <c r="O234" t="str">
        <f t="shared" si="12"/>
        <v>Feb</v>
      </c>
      <c r="P234" t="str">
        <f t="shared" si="13"/>
        <v>2026</v>
      </c>
      <c r="Q234" s="25">
        <f t="shared" si="14"/>
        <v>230</v>
      </c>
      <c r="R234" s="29">
        <f t="shared" si="15"/>
        <v>2070</v>
      </c>
    </row>
    <row r="235" spans="1:18" x14ac:dyDescent="0.25">
      <c r="A235" s="5" t="s">
        <v>467</v>
      </c>
      <c r="B235" s="3" t="s">
        <v>468</v>
      </c>
      <c r="C235" s="1" t="s">
        <v>294</v>
      </c>
      <c r="D235" s="1" t="s">
        <v>36</v>
      </c>
      <c r="E235" s="1">
        <v>18</v>
      </c>
      <c r="F235" s="1" t="s">
        <v>20</v>
      </c>
      <c r="G235" s="1" t="s">
        <v>21</v>
      </c>
      <c r="H235" s="1" t="s">
        <v>109</v>
      </c>
      <c r="I235" s="1" t="s">
        <v>50</v>
      </c>
      <c r="J235" s="1">
        <v>4</v>
      </c>
      <c r="K235" s="27">
        <v>80</v>
      </c>
      <c r="L235" s="27">
        <v>0.05</v>
      </c>
      <c r="M235" s="1" t="s">
        <v>24</v>
      </c>
      <c r="N235" s="1" t="s">
        <v>51</v>
      </c>
      <c r="O235" t="str">
        <f t="shared" si="12"/>
        <v>Apr</v>
      </c>
      <c r="P235" t="str">
        <f t="shared" si="13"/>
        <v>2026</v>
      </c>
      <c r="Q235" s="25">
        <f t="shared" si="14"/>
        <v>130</v>
      </c>
      <c r="R235" s="29">
        <f t="shared" si="15"/>
        <v>494</v>
      </c>
    </row>
    <row r="236" spans="1:18" x14ac:dyDescent="0.25">
      <c r="A236" s="5" t="s">
        <v>469</v>
      </c>
      <c r="B236" s="3" t="s">
        <v>470</v>
      </c>
      <c r="C236" s="1" t="s">
        <v>123</v>
      </c>
      <c r="D236" s="1" t="s">
        <v>36</v>
      </c>
      <c r="E236" s="1">
        <v>29</v>
      </c>
      <c r="F236" s="1" t="s">
        <v>37</v>
      </c>
      <c r="G236" s="1" t="s">
        <v>38</v>
      </c>
      <c r="H236" s="1" t="s">
        <v>73</v>
      </c>
      <c r="I236" s="1" t="s">
        <v>69</v>
      </c>
      <c r="J236" s="1">
        <v>6</v>
      </c>
      <c r="K236" s="27">
        <v>5</v>
      </c>
      <c r="L236" s="27">
        <v>0.15</v>
      </c>
      <c r="M236" s="1" t="s">
        <v>31</v>
      </c>
      <c r="N236" s="1" t="s">
        <v>32</v>
      </c>
      <c r="O236" t="str">
        <f t="shared" si="12"/>
        <v>Mar</v>
      </c>
      <c r="P236" t="str">
        <f t="shared" si="13"/>
        <v>2026</v>
      </c>
      <c r="Q236" s="25">
        <f t="shared" si="14"/>
        <v>55</v>
      </c>
      <c r="R236" s="29">
        <f t="shared" si="15"/>
        <v>280.5</v>
      </c>
    </row>
    <row r="237" spans="1:18" x14ac:dyDescent="0.25">
      <c r="A237" s="5" t="s">
        <v>471</v>
      </c>
      <c r="B237" s="3" t="s">
        <v>472</v>
      </c>
      <c r="C237" s="1" t="s">
        <v>145</v>
      </c>
      <c r="D237" s="1" t="s">
        <v>19</v>
      </c>
      <c r="E237" s="1">
        <v>41</v>
      </c>
      <c r="F237" s="1" t="s">
        <v>20</v>
      </c>
      <c r="G237" s="1" t="s">
        <v>21</v>
      </c>
      <c r="H237" s="1" t="s">
        <v>109</v>
      </c>
      <c r="I237" s="1" t="s">
        <v>50</v>
      </c>
      <c r="J237" s="1">
        <v>1</v>
      </c>
      <c r="K237" s="27">
        <v>80</v>
      </c>
      <c r="L237" s="27">
        <v>0.1</v>
      </c>
      <c r="M237" s="1" t="s">
        <v>24</v>
      </c>
      <c r="N237" s="1" t="s">
        <v>32</v>
      </c>
      <c r="O237" t="str">
        <f t="shared" si="12"/>
        <v>Jan</v>
      </c>
      <c r="P237" t="str">
        <f t="shared" si="13"/>
        <v>2026</v>
      </c>
      <c r="Q237" s="25">
        <f t="shared" si="14"/>
        <v>130</v>
      </c>
      <c r="R237" s="29">
        <f t="shared" si="15"/>
        <v>117</v>
      </c>
    </row>
    <row r="238" spans="1:18" x14ac:dyDescent="0.25">
      <c r="A238" s="5" t="s">
        <v>473</v>
      </c>
      <c r="B238" s="3" t="s">
        <v>474</v>
      </c>
      <c r="C238" s="1" t="s">
        <v>350</v>
      </c>
      <c r="D238" s="1" t="s">
        <v>36</v>
      </c>
      <c r="E238" s="1">
        <v>60</v>
      </c>
      <c r="F238" s="1" t="s">
        <v>37</v>
      </c>
      <c r="G238" s="1" t="s">
        <v>38</v>
      </c>
      <c r="H238" s="1" t="s">
        <v>109</v>
      </c>
      <c r="I238" s="1" t="s">
        <v>50</v>
      </c>
      <c r="J238" s="1">
        <v>5</v>
      </c>
      <c r="K238" s="27">
        <v>80</v>
      </c>
      <c r="L238" s="27">
        <v>0.15</v>
      </c>
      <c r="M238" s="1" t="s">
        <v>31</v>
      </c>
      <c r="N238" s="1" t="s">
        <v>32</v>
      </c>
      <c r="O238" t="str">
        <f t="shared" si="12"/>
        <v>Apr</v>
      </c>
      <c r="P238" t="str">
        <f t="shared" si="13"/>
        <v>2026</v>
      </c>
      <c r="Q238" s="25">
        <f t="shared" si="14"/>
        <v>130</v>
      </c>
      <c r="R238" s="29">
        <f t="shared" si="15"/>
        <v>552.5</v>
      </c>
    </row>
    <row r="239" spans="1:18" x14ac:dyDescent="0.25">
      <c r="A239" s="5" t="s">
        <v>475</v>
      </c>
      <c r="B239" s="3" t="s">
        <v>253</v>
      </c>
      <c r="C239" s="1" t="s">
        <v>18</v>
      </c>
      <c r="D239" s="1" t="s">
        <v>19</v>
      </c>
      <c r="E239" s="1">
        <v>36</v>
      </c>
      <c r="F239" s="1" t="s">
        <v>20</v>
      </c>
      <c r="G239" s="1" t="s">
        <v>21</v>
      </c>
      <c r="H239" s="1" t="s">
        <v>62</v>
      </c>
      <c r="I239" s="1" t="s">
        <v>23</v>
      </c>
      <c r="J239" s="1">
        <v>6</v>
      </c>
      <c r="K239" s="27">
        <v>15</v>
      </c>
      <c r="L239" s="27">
        <v>0.1</v>
      </c>
      <c r="M239" s="1" t="s">
        <v>39</v>
      </c>
      <c r="N239" s="1" t="s">
        <v>25</v>
      </c>
      <c r="O239" t="str">
        <f t="shared" si="12"/>
        <v>May</v>
      </c>
      <c r="P239" t="str">
        <f t="shared" si="13"/>
        <v>2026</v>
      </c>
      <c r="Q239" s="25">
        <f t="shared" si="14"/>
        <v>65</v>
      </c>
      <c r="R239" s="29">
        <f t="shared" si="15"/>
        <v>351</v>
      </c>
    </row>
    <row r="240" spans="1:18" x14ac:dyDescent="0.25">
      <c r="A240" s="5" t="s">
        <v>476</v>
      </c>
      <c r="B240" s="3" t="s">
        <v>230</v>
      </c>
      <c r="C240" s="1" t="s">
        <v>268</v>
      </c>
      <c r="D240" s="1" t="s">
        <v>19</v>
      </c>
      <c r="E240" s="1">
        <v>58</v>
      </c>
      <c r="F240" s="1" t="s">
        <v>88</v>
      </c>
      <c r="G240" s="1" t="s">
        <v>89</v>
      </c>
      <c r="H240" s="1" t="s">
        <v>109</v>
      </c>
      <c r="I240" s="1" t="s">
        <v>50</v>
      </c>
      <c r="J240" s="1">
        <v>10</v>
      </c>
      <c r="K240" s="27">
        <v>80</v>
      </c>
      <c r="L240" s="27">
        <v>0</v>
      </c>
      <c r="M240" s="1" t="s">
        <v>39</v>
      </c>
      <c r="N240" s="1" t="s">
        <v>55</v>
      </c>
      <c r="O240" t="str">
        <f t="shared" si="12"/>
        <v>Jan</v>
      </c>
      <c r="P240" t="str">
        <f t="shared" si="13"/>
        <v>2026</v>
      </c>
      <c r="Q240" s="25">
        <f t="shared" si="14"/>
        <v>130</v>
      </c>
      <c r="R240" s="29">
        <f t="shared" si="15"/>
        <v>1300</v>
      </c>
    </row>
    <row r="241" spans="1:18" x14ac:dyDescent="0.25">
      <c r="A241" s="5" t="s">
        <v>477</v>
      </c>
      <c r="B241" s="3" t="s">
        <v>344</v>
      </c>
      <c r="C241" s="1" t="s">
        <v>165</v>
      </c>
      <c r="D241" s="1" t="s">
        <v>36</v>
      </c>
      <c r="E241" s="1">
        <v>27</v>
      </c>
      <c r="F241" s="1" t="s">
        <v>43</v>
      </c>
      <c r="G241" s="1" t="s">
        <v>44</v>
      </c>
      <c r="H241" s="1" t="s">
        <v>79</v>
      </c>
      <c r="I241" s="1" t="s">
        <v>23</v>
      </c>
      <c r="J241" s="1">
        <v>7</v>
      </c>
      <c r="K241" s="27">
        <v>500</v>
      </c>
      <c r="L241" s="27">
        <v>0.05</v>
      </c>
      <c r="M241" s="1" t="s">
        <v>45</v>
      </c>
      <c r="N241" s="1" t="s">
        <v>55</v>
      </c>
      <c r="O241" t="str">
        <f t="shared" si="12"/>
        <v>Mar</v>
      </c>
      <c r="P241" t="str">
        <f t="shared" si="13"/>
        <v>2026</v>
      </c>
      <c r="Q241" s="25">
        <f t="shared" si="14"/>
        <v>550</v>
      </c>
      <c r="R241" s="29">
        <f t="shared" si="15"/>
        <v>3657.5</v>
      </c>
    </row>
    <row r="242" spans="1:18" x14ac:dyDescent="0.25">
      <c r="A242" s="5" t="s">
        <v>478</v>
      </c>
      <c r="B242" s="3" t="s">
        <v>27</v>
      </c>
      <c r="C242" s="1" t="s">
        <v>251</v>
      </c>
      <c r="D242" s="1" t="s">
        <v>19</v>
      </c>
      <c r="E242" s="1">
        <v>50</v>
      </c>
      <c r="F242" s="1" t="s">
        <v>37</v>
      </c>
      <c r="G242" s="1" t="s">
        <v>38</v>
      </c>
      <c r="H242" s="1" t="s">
        <v>118</v>
      </c>
      <c r="I242" s="1" t="s">
        <v>23</v>
      </c>
      <c r="J242" s="1">
        <v>6</v>
      </c>
      <c r="K242" s="27">
        <v>180</v>
      </c>
      <c r="L242" s="27">
        <v>0</v>
      </c>
      <c r="M242" s="1" t="s">
        <v>45</v>
      </c>
      <c r="N242" s="1" t="s">
        <v>55</v>
      </c>
      <c r="O242" t="str">
        <f t="shared" si="12"/>
        <v>Mar</v>
      </c>
      <c r="P242" t="str">
        <f t="shared" si="13"/>
        <v>2026</v>
      </c>
      <c r="Q242" s="25">
        <f t="shared" si="14"/>
        <v>230</v>
      </c>
      <c r="R242" s="29">
        <f t="shared" si="15"/>
        <v>1380</v>
      </c>
    </row>
    <row r="243" spans="1:18" x14ac:dyDescent="0.25">
      <c r="A243" s="5" t="s">
        <v>479</v>
      </c>
      <c r="B243" s="3" t="s">
        <v>57</v>
      </c>
      <c r="C243" s="1" t="s">
        <v>205</v>
      </c>
      <c r="D243" s="1" t="s">
        <v>36</v>
      </c>
      <c r="E243" s="1">
        <v>51</v>
      </c>
      <c r="F243" s="1" t="s">
        <v>88</v>
      </c>
      <c r="G243" s="1" t="s">
        <v>89</v>
      </c>
      <c r="H243" s="1" t="s">
        <v>62</v>
      </c>
      <c r="I243" s="1" t="s">
        <v>23</v>
      </c>
      <c r="J243" s="1">
        <v>3</v>
      </c>
      <c r="K243" s="27">
        <v>15</v>
      </c>
      <c r="L243" s="27">
        <v>0.05</v>
      </c>
      <c r="M243" s="1" t="s">
        <v>39</v>
      </c>
      <c r="N243" s="1" t="s">
        <v>55</v>
      </c>
      <c r="O243" t="str">
        <f t="shared" si="12"/>
        <v>Mar</v>
      </c>
      <c r="P243" t="str">
        <f t="shared" si="13"/>
        <v>2026</v>
      </c>
      <c r="Q243" s="25">
        <f t="shared" si="14"/>
        <v>65</v>
      </c>
      <c r="R243" s="29">
        <f t="shared" si="15"/>
        <v>185.25</v>
      </c>
    </row>
    <row r="244" spans="1:18" x14ac:dyDescent="0.25">
      <c r="A244" s="5" t="s">
        <v>480</v>
      </c>
      <c r="B244" s="3" t="s">
        <v>481</v>
      </c>
      <c r="C244" s="1" t="s">
        <v>65</v>
      </c>
      <c r="D244" s="1" t="s">
        <v>36</v>
      </c>
      <c r="E244" s="1">
        <v>47</v>
      </c>
      <c r="F244" s="1" t="s">
        <v>88</v>
      </c>
      <c r="G244" s="1" t="s">
        <v>89</v>
      </c>
      <c r="H244" s="1" t="s">
        <v>49</v>
      </c>
      <c r="I244" s="1" t="s">
        <v>50</v>
      </c>
      <c r="J244" s="1">
        <v>6</v>
      </c>
      <c r="K244" s="27">
        <v>120</v>
      </c>
      <c r="L244" s="27">
        <v>0</v>
      </c>
      <c r="M244" s="1" t="s">
        <v>39</v>
      </c>
      <c r="N244" s="1" t="s">
        <v>32</v>
      </c>
      <c r="O244" t="str">
        <f t="shared" si="12"/>
        <v>Mar</v>
      </c>
      <c r="P244" t="str">
        <f t="shared" si="13"/>
        <v>2026</v>
      </c>
      <c r="Q244" s="25">
        <f t="shared" si="14"/>
        <v>170</v>
      </c>
      <c r="R244" s="29">
        <f t="shared" si="15"/>
        <v>1020</v>
      </c>
    </row>
    <row r="245" spans="1:18" x14ac:dyDescent="0.25">
      <c r="A245" s="5" t="s">
        <v>482</v>
      </c>
      <c r="B245" s="3" t="s">
        <v>41</v>
      </c>
      <c r="C245" s="1" t="s">
        <v>350</v>
      </c>
      <c r="D245" s="1" t="s">
        <v>36</v>
      </c>
      <c r="E245" s="1">
        <v>35</v>
      </c>
      <c r="F245" s="1" t="s">
        <v>43</v>
      </c>
      <c r="G245" s="1" t="s">
        <v>44</v>
      </c>
      <c r="H245" s="1" t="s">
        <v>49</v>
      </c>
      <c r="I245" s="1" t="s">
        <v>50</v>
      </c>
      <c r="J245" s="1">
        <v>8</v>
      </c>
      <c r="K245" s="27">
        <v>120</v>
      </c>
      <c r="L245" s="27">
        <v>0.15</v>
      </c>
      <c r="M245" s="1" t="s">
        <v>31</v>
      </c>
      <c r="N245" s="1" t="s">
        <v>25</v>
      </c>
      <c r="O245" t="str">
        <f t="shared" si="12"/>
        <v>May</v>
      </c>
      <c r="P245" t="str">
        <f t="shared" si="13"/>
        <v>2026</v>
      </c>
      <c r="Q245" s="25">
        <f t="shared" si="14"/>
        <v>170</v>
      </c>
      <c r="R245" s="29">
        <f t="shared" si="15"/>
        <v>1156</v>
      </c>
    </row>
    <row r="246" spans="1:18" x14ac:dyDescent="0.25">
      <c r="A246" s="5" t="s">
        <v>483</v>
      </c>
      <c r="B246" s="3" t="s">
        <v>148</v>
      </c>
      <c r="C246" s="1" t="s">
        <v>205</v>
      </c>
      <c r="D246" s="1" t="s">
        <v>19</v>
      </c>
      <c r="E246" s="1">
        <v>49</v>
      </c>
      <c r="F246" s="1" t="s">
        <v>37</v>
      </c>
      <c r="G246" s="1" t="s">
        <v>38</v>
      </c>
      <c r="H246" s="1" t="s">
        <v>68</v>
      </c>
      <c r="I246" s="1" t="s">
        <v>69</v>
      </c>
      <c r="J246" s="1">
        <v>10</v>
      </c>
      <c r="K246" s="27">
        <v>2</v>
      </c>
      <c r="L246" s="27">
        <v>0.15</v>
      </c>
      <c r="M246" s="1" t="s">
        <v>45</v>
      </c>
      <c r="N246" s="1" t="s">
        <v>32</v>
      </c>
      <c r="O246" t="str">
        <f t="shared" si="12"/>
        <v>Jun</v>
      </c>
      <c r="P246" t="str">
        <f t="shared" si="13"/>
        <v>2026</v>
      </c>
      <c r="Q246" s="25">
        <f t="shared" si="14"/>
        <v>52</v>
      </c>
      <c r="R246" s="29">
        <f t="shared" si="15"/>
        <v>442</v>
      </c>
    </row>
    <row r="247" spans="1:18" x14ac:dyDescent="0.25">
      <c r="A247" s="5" t="s">
        <v>484</v>
      </c>
      <c r="B247" s="3" t="s">
        <v>279</v>
      </c>
      <c r="C247" s="1" t="s">
        <v>35</v>
      </c>
      <c r="D247" s="1" t="s">
        <v>19</v>
      </c>
      <c r="E247" s="1">
        <v>49</v>
      </c>
      <c r="F247" s="1" t="s">
        <v>20</v>
      </c>
      <c r="G247" s="1" t="s">
        <v>21</v>
      </c>
      <c r="H247" s="1" t="s">
        <v>22</v>
      </c>
      <c r="I247" s="1" t="s">
        <v>23</v>
      </c>
      <c r="J247" s="1">
        <v>6</v>
      </c>
      <c r="K247" s="27">
        <v>850</v>
      </c>
      <c r="L247" s="27">
        <v>0.1</v>
      </c>
      <c r="M247" s="1" t="s">
        <v>24</v>
      </c>
      <c r="N247" s="1" t="s">
        <v>25</v>
      </c>
      <c r="O247" t="str">
        <f t="shared" si="12"/>
        <v>Apr</v>
      </c>
      <c r="P247" t="str">
        <f t="shared" si="13"/>
        <v>2026</v>
      </c>
      <c r="Q247" s="25">
        <f t="shared" si="14"/>
        <v>900</v>
      </c>
      <c r="R247" s="29">
        <f t="shared" si="15"/>
        <v>4860</v>
      </c>
    </row>
    <row r="248" spans="1:18" x14ac:dyDescent="0.25">
      <c r="A248" s="5" t="s">
        <v>485</v>
      </c>
      <c r="B248" s="3" t="s">
        <v>160</v>
      </c>
      <c r="C248" s="1" t="s">
        <v>123</v>
      </c>
      <c r="D248" s="1" t="s">
        <v>19</v>
      </c>
      <c r="E248" s="1">
        <v>44</v>
      </c>
      <c r="F248" s="1" t="s">
        <v>29</v>
      </c>
      <c r="G248" s="1" t="s">
        <v>30</v>
      </c>
      <c r="H248" s="1" t="s">
        <v>22</v>
      </c>
      <c r="I248" s="1" t="s">
        <v>23</v>
      </c>
      <c r="J248" s="1">
        <v>3</v>
      </c>
      <c r="K248" s="27">
        <v>850</v>
      </c>
      <c r="L248" s="27">
        <v>0.1</v>
      </c>
      <c r="M248" s="1" t="s">
        <v>31</v>
      </c>
      <c r="N248" s="1" t="s">
        <v>32</v>
      </c>
      <c r="O248" t="str">
        <f t="shared" si="12"/>
        <v>Jan</v>
      </c>
      <c r="P248" t="str">
        <f t="shared" si="13"/>
        <v>2026</v>
      </c>
      <c r="Q248" s="25">
        <f t="shared" si="14"/>
        <v>900</v>
      </c>
      <c r="R248" s="29">
        <f t="shared" si="15"/>
        <v>2430</v>
      </c>
    </row>
    <row r="249" spans="1:18" x14ac:dyDescent="0.25">
      <c r="A249" s="5" t="s">
        <v>486</v>
      </c>
      <c r="B249" s="3" t="s">
        <v>417</v>
      </c>
      <c r="C249" s="1" t="s">
        <v>65</v>
      </c>
      <c r="D249" s="1" t="s">
        <v>36</v>
      </c>
      <c r="E249" s="1">
        <v>45</v>
      </c>
      <c r="F249" s="1" t="s">
        <v>43</v>
      </c>
      <c r="G249" s="1" t="s">
        <v>44</v>
      </c>
      <c r="H249" s="1" t="s">
        <v>68</v>
      </c>
      <c r="I249" s="1" t="s">
        <v>69</v>
      </c>
      <c r="J249" s="1">
        <v>9</v>
      </c>
      <c r="K249" s="27">
        <v>2</v>
      </c>
      <c r="L249" s="27">
        <v>0.15</v>
      </c>
      <c r="M249" s="1" t="s">
        <v>24</v>
      </c>
      <c r="N249" s="1" t="s">
        <v>32</v>
      </c>
      <c r="O249" t="str">
        <f t="shared" si="12"/>
        <v>Jan</v>
      </c>
      <c r="P249" t="str">
        <f t="shared" si="13"/>
        <v>2026</v>
      </c>
      <c r="Q249" s="25">
        <f t="shared" si="14"/>
        <v>52</v>
      </c>
      <c r="R249" s="29">
        <f t="shared" si="15"/>
        <v>397.8</v>
      </c>
    </row>
    <row r="250" spans="1:18" x14ac:dyDescent="0.25">
      <c r="A250" s="5" t="s">
        <v>487</v>
      </c>
      <c r="B250" s="3" t="s">
        <v>488</v>
      </c>
      <c r="C250" s="1" t="s">
        <v>180</v>
      </c>
      <c r="D250" s="1" t="s">
        <v>19</v>
      </c>
      <c r="E250" s="1">
        <v>20</v>
      </c>
      <c r="F250" s="1" t="s">
        <v>43</v>
      </c>
      <c r="G250" s="1" t="s">
        <v>44</v>
      </c>
      <c r="H250" s="1" t="s">
        <v>22</v>
      </c>
      <c r="I250" s="1" t="s">
        <v>23</v>
      </c>
      <c r="J250" s="1">
        <v>7</v>
      </c>
      <c r="K250" s="27">
        <v>850</v>
      </c>
      <c r="L250" s="27">
        <v>0</v>
      </c>
      <c r="M250" s="1" t="s">
        <v>58</v>
      </c>
      <c r="N250" s="1" t="s">
        <v>25</v>
      </c>
      <c r="O250" t="str">
        <f t="shared" si="12"/>
        <v>Feb</v>
      </c>
      <c r="P250" t="str">
        <f t="shared" si="13"/>
        <v>2026</v>
      </c>
      <c r="Q250" s="25">
        <f t="shared" si="14"/>
        <v>900</v>
      </c>
      <c r="R250" s="29">
        <f t="shared" si="15"/>
        <v>6300</v>
      </c>
    </row>
    <row r="251" spans="1:18" x14ac:dyDescent="0.25">
      <c r="A251" s="5" t="s">
        <v>489</v>
      </c>
      <c r="B251" s="3" t="s">
        <v>107</v>
      </c>
      <c r="C251" s="1" t="s">
        <v>149</v>
      </c>
      <c r="D251" s="1" t="s">
        <v>19</v>
      </c>
      <c r="E251" s="1">
        <v>38</v>
      </c>
      <c r="F251" s="1" t="s">
        <v>43</v>
      </c>
      <c r="G251" s="1" t="s">
        <v>44</v>
      </c>
      <c r="H251" s="1" t="s">
        <v>73</v>
      </c>
      <c r="I251" s="1" t="s">
        <v>69</v>
      </c>
      <c r="J251" s="1">
        <v>5</v>
      </c>
      <c r="K251" s="27">
        <v>5</v>
      </c>
      <c r="L251" s="27">
        <v>0.1</v>
      </c>
      <c r="M251" s="1" t="s">
        <v>45</v>
      </c>
      <c r="N251" s="1" t="s">
        <v>55</v>
      </c>
      <c r="O251" t="str">
        <f t="shared" si="12"/>
        <v>Feb</v>
      </c>
      <c r="P251" t="str">
        <f t="shared" si="13"/>
        <v>2026</v>
      </c>
      <c r="Q251" s="25">
        <f t="shared" si="14"/>
        <v>55</v>
      </c>
      <c r="R251" s="29">
        <f t="shared" si="15"/>
        <v>247.5</v>
      </c>
    </row>
    <row r="252" spans="1:18" x14ac:dyDescent="0.25">
      <c r="A252" s="5" t="s">
        <v>490</v>
      </c>
      <c r="B252" s="3" t="s">
        <v>398</v>
      </c>
      <c r="C252" s="1" t="s">
        <v>105</v>
      </c>
      <c r="D252" s="1" t="s">
        <v>36</v>
      </c>
      <c r="E252" s="1">
        <v>40</v>
      </c>
      <c r="F252" s="1" t="s">
        <v>29</v>
      </c>
      <c r="G252" s="1" t="s">
        <v>30</v>
      </c>
      <c r="H252" s="1" t="s">
        <v>62</v>
      </c>
      <c r="I252" s="1" t="s">
        <v>23</v>
      </c>
      <c r="J252" s="1">
        <v>1</v>
      </c>
      <c r="K252" s="27">
        <v>15</v>
      </c>
      <c r="L252" s="27">
        <v>0.1</v>
      </c>
      <c r="M252" s="1" t="s">
        <v>45</v>
      </c>
      <c r="N252" s="1" t="s">
        <v>55</v>
      </c>
      <c r="O252" t="str">
        <f t="shared" si="12"/>
        <v>Jan</v>
      </c>
      <c r="P252" t="str">
        <f t="shared" si="13"/>
        <v>2026</v>
      </c>
      <c r="Q252" s="25">
        <f t="shared" si="14"/>
        <v>65</v>
      </c>
      <c r="R252" s="29">
        <f t="shared" si="15"/>
        <v>58.5</v>
      </c>
    </row>
    <row r="253" spans="1:18" x14ac:dyDescent="0.25">
      <c r="A253" s="5" t="s">
        <v>491</v>
      </c>
      <c r="B253" s="3" t="s">
        <v>221</v>
      </c>
      <c r="C253" s="1" t="s">
        <v>165</v>
      </c>
      <c r="D253" s="1" t="s">
        <v>36</v>
      </c>
      <c r="E253" s="1">
        <v>28</v>
      </c>
      <c r="F253" s="1" t="s">
        <v>37</v>
      </c>
      <c r="G253" s="1" t="s">
        <v>38</v>
      </c>
      <c r="H253" s="1" t="s">
        <v>118</v>
      </c>
      <c r="I253" s="1" t="s">
        <v>23</v>
      </c>
      <c r="J253" s="1">
        <v>9</v>
      </c>
      <c r="K253" s="27">
        <v>180</v>
      </c>
      <c r="L253" s="27">
        <v>0.05</v>
      </c>
      <c r="M253" s="1" t="s">
        <v>39</v>
      </c>
      <c r="N253" s="1" t="s">
        <v>25</v>
      </c>
      <c r="O253" t="str">
        <f t="shared" si="12"/>
        <v>May</v>
      </c>
      <c r="P253" t="str">
        <f t="shared" si="13"/>
        <v>2026</v>
      </c>
      <c r="Q253" s="25">
        <f t="shared" si="14"/>
        <v>230</v>
      </c>
      <c r="R253" s="29">
        <f t="shared" si="15"/>
        <v>1966.5</v>
      </c>
    </row>
    <row r="254" spans="1:18" x14ac:dyDescent="0.25">
      <c r="A254" s="5" t="s">
        <v>492</v>
      </c>
      <c r="B254" s="3" t="s">
        <v>154</v>
      </c>
      <c r="C254" s="1" t="s">
        <v>114</v>
      </c>
      <c r="D254" s="1" t="s">
        <v>19</v>
      </c>
      <c r="E254" s="1">
        <v>34</v>
      </c>
      <c r="F254" s="1" t="s">
        <v>29</v>
      </c>
      <c r="G254" s="1" t="s">
        <v>30</v>
      </c>
      <c r="H254" s="1" t="s">
        <v>118</v>
      </c>
      <c r="I254" s="1" t="s">
        <v>23</v>
      </c>
      <c r="J254" s="1">
        <v>10</v>
      </c>
      <c r="K254" s="27">
        <v>180</v>
      </c>
      <c r="L254" s="27">
        <v>0.1</v>
      </c>
      <c r="M254" s="1" t="s">
        <v>45</v>
      </c>
      <c r="N254" s="1" t="s">
        <v>51</v>
      </c>
      <c r="O254" t="str">
        <f t="shared" si="12"/>
        <v>Jun</v>
      </c>
      <c r="P254" t="str">
        <f t="shared" si="13"/>
        <v>2026</v>
      </c>
      <c r="Q254" s="25">
        <f t="shared" si="14"/>
        <v>230</v>
      </c>
      <c r="R254" s="29">
        <f t="shared" si="15"/>
        <v>2070</v>
      </c>
    </row>
    <row r="255" spans="1:18" x14ac:dyDescent="0.25">
      <c r="A255" s="5" t="s">
        <v>493</v>
      </c>
      <c r="B255" s="3" t="s">
        <v>248</v>
      </c>
      <c r="C255" s="1" t="s">
        <v>131</v>
      </c>
      <c r="D255" s="1" t="s">
        <v>36</v>
      </c>
      <c r="E255" s="1">
        <v>56</v>
      </c>
      <c r="F255" s="1" t="s">
        <v>37</v>
      </c>
      <c r="G255" s="1" t="s">
        <v>38</v>
      </c>
      <c r="H255" s="1" t="s">
        <v>22</v>
      </c>
      <c r="I255" s="1" t="s">
        <v>23</v>
      </c>
      <c r="J255" s="1">
        <v>1</v>
      </c>
      <c r="K255" s="27">
        <v>850</v>
      </c>
      <c r="L255" s="27">
        <v>0.1</v>
      </c>
      <c r="M255" s="1" t="s">
        <v>31</v>
      </c>
      <c r="N255" s="1" t="s">
        <v>25</v>
      </c>
      <c r="O255" t="str">
        <f t="shared" si="12"/>
        <v>Mar</v>
      </c>
      <c r="P255" t="str">
        <f t="shared" si="13"/>
        <v>2026</v>
      </c>
      <c r="Q255" s="25">
        <f t="shared" si="14"/>
        <v>900</v>
      </c>
      <c r="R255" s="29">
        <f t="shared" si="15"/>
        <v>810</v>
      </c>
    </row>
    <row r="256" spans="1:18" x14ac:dyDescent="0.25">
      <c r="A256" s="5" t="s">
        <v>494</v>
      </c>
      <c r="B256" s="3" t="s">
        <v>98</v>
      </c>
      <c r="C256" s="1" t="s">
        <v>78</v>
      </c>
      <c r="D256" s="1" t="s">
        <v>36</v>
      </c>
      <c r="E256" s="1">
        <v>32</v>
      </c>
      <c r="F256" s="1" t="s">
        <v>29</v>
      </c>
      <c r="G256" s="1" t="s">
        <v>30</v>
      </c>
      <c r="H256" s="1" t="s">
        <v>62</v>
      </c>
      <c r="I256" s="1" t="s">
        <v>23</v>
      </c>
      <c r="J256" s="1">
        <v>2</v>
      </c>
      <c r="K256" s="27">
        <v>15</v>
      </c>
      <c r="L256" s="27">
        <v>0.05</v>
      </c>
      <c r="M256" s="1" t="s">
        <v>45</v>
      </c>
      <c r="N256" s="1" t="s">
        <v>25</v>
      </c>
      <c r="O256" t="str">
        <f t="shared" si="12"/>
        <v>Jun</v>
      </c>
      <c r="P256" t="str">
        <f t="shared" si="13"/>
        <v>2026</v>
      </c>
      <c r="Q256" s="25">
        <f t="shared" si="14"/>
        <v>65</v>
      </c>
      <c r="R256" s="29">
        <f t="shared" si="15"/>
        <v>123.5</v>
      </c>
    </row>
    <row r="257" spans="1:18" x14ac:dyDescent="0.25">
      <c r="A257" s="5" t="s">
        <v>495</v>
      </c>
      <c r="B257" s="3" t="s">
        <v>64</v>
      </c>
      <c r="C257" s="1" t="s">
        <v>42</v>
      </c>
      <c r="D257" s="1" t="s">
        <v>19</v>
      </c>
      <c r="E257" s="1">
        <v>35</v>
      </c>
      <c r="F257" s="1" t="s">
        <v>29</v>
      </c>
      <c r="G257" s="1" t="s">
        <v>30</v>
      </c>
      <c r="H257" s="1" t="s">
        <v>62</v>
      </c>
      <c r="I257" s="1" t="s">
        <v>23</v>
      </c>
      <c r="J257" s="1">
        <v>8</v>
      </c>
      <c r="K257" s="27">
        <v>15</v>
      </c>
      <c r="L257" s="27">
        <v>0.05</v>
      </c>
      <c r="M257" s="1" t="s">
        <v>93</v>
      </c>
      <c r="N257" s="1" t="s">
        <v>55</v>
      </c>
      <c r="O257" t="str">
        <f t="shared" si="12"/>
        <v>Apr</v>
      </c>
      <c r="P257" t="str">
        <f t="shared" si="13"/>
        <v>2026</v>
      </c>
      <c r="Q257" s="25">
        <f t="shared" si="14"/>
        <v>65</v>
      </c>
      <c r="R257" s="29">
        <f t="shared" si="15"/>
        <v>494</v>
      </c>
    </row>
    <row r="258" spans="1:18" x14ac:dyDescent="0.25">
      <c r="A258" s="5" t="s">
        <v>496</v>
      </c>
      <c r="B258" s="3" t="s">
        <v>111</v>
      </c>
      <c r="C258" s="1" t="s">
        <v>294</v>
      </c>
      <c r="D258" s="1" t="s">
        <v>19</v>
      </c>
      <c r="E258" s="1">
        <v>57</v>
      </c>
      <c r="F258" s="1" t="s">
        <v>43</v>
      </c>
      <c r="G258" s="1" t="s">
        <v>44</v>
      </c>
      <c r="H258" s="1" t="s">
        <v>118</v>
      </c>
      <c r="I258" s="1" t="s">
        <v>23</v>
      </c>
      <c r="J258" s="1">
        <v>7</v>
      </c>
      <c r="K258" s="27">
        <v>180</v>
      </c>
      <c r="L258" s="27">
        <v>0.15</v>
      </c>
      <c r="M258" s="1" t="s">
        <v>93</v>
      </c>
      <c r="N258" s="1" t="s">
        <v>55</v>
      </c>
      <c r="O258" t="str">
        <f t="shared" ref="O258:O321" si="16">TEXT(B:B,"MMM")</f>
        <v>Jun</v>
      </c>
      <c r="P258" t="str">
        <f t="shared" ref="P258:P321" si="17">TEXT(B:B,"YYYY")</f>
        <v>2026</v>
      </c>
      <c r="Q258" s="25">
        <f t="shared" ref="Q258:Q321" si="18">K:K+50</f>
        <v>230</v>
      </c>
      <c r="R258" s="29">
        <f t="shared" si="15"/>
        <v>1368.5</v>
      </c>
    </row>
    <row r="259" spans="1:18" x14ac:dyDescent="0.25">
      <c r="A259" s="5" t="s">
        <v>497</v>
      </c>
      <c r="B259" s="3" t="s">
        <v>17</v>
      </c>
      <c r="C259" s="1" t="s">
        <v>28</v>
      </c>
      <c r="D259" s="1" t="s">
        <v>36</v>
      </c>
      <c r="E259" s="1">
        <v>23</v>
      </c>
      <c r="F259" s="1" t="s">
        <v>43</v>
      </c>
      <c r="G259" s="1" t="s">
        <v>44</v>
      </c>
      <c r="H259" s="1" t="s">
        <v>73</v>
      </c>
      <c r="I259" s="1" t="s">
        <v>69</v>
      </c>
      <c r="J259" s="1">
        <v>9</v>
      </c>
      <c r="K259" s="27">
        <v>5</v>
      </c>
      <c r="L259" s="27">
        <v>0.1</v>
      </c>
      <c r="M259" s="1" t="s">
        <v>58</v>
      </c>
      <c r="N259" s="1" t="s">
        <v>55</v>
      </c>
      <c r="O259" t="str">
        <f t="shared" si="16"/>
        <v>Feb</v>
      </c>
      <c r="P259" t="str">
        <f t="shared" si="17"/>
        <v>2026</v>
      </c>
      <c r="Q259" s="25">
        <f t="shared" si="18"/>
        <v>55</v>
      </c>
      <c r="R259" s="29">
        <f t="shared" ref="R259:R322" si="19">J:J*Q:Q*(1-L:L)</f>
        <v>445.5</v>
      </c>
    </row>
    <row r="260" spans="1:18" x14ac:dyDescent="0.25">
      <c r="A260" s="5" t="s">
        <v>498</v>
      </c>
      <c r="B260" s="3" t="s">
        <v>499</v>
      </c>
      <c r="C260" s="1" t="s">
        <v>126</v>
      </c>
      <c r="D260" s="1" t="s">
        <v>19</v>
      </c>
      <c r="E260" s="1">
        <v>51</v>
      </c>
      <c r="F260" s="1" t="s">
        <v>88</v>
      </c>
      <c r="G260" s="1" t="s">
        <v>89</v>
      </c>
      <c r="H260" s="1" t="s">
        <v>109</v>
      </c>
      <c r="I260" s="1" t="s">
        <v>50</v>
      </c>
      <c r="J260" s="1">
        <v>2</v>
      </c>
      <c r="K260" s="27">
        <v>80</v>
      </c>
      <c r="L260" s="27">
        <v>0</v>
      </c>
      <c r="M260" s="1" t="s">
        <v>24</v>
      </c>
      <c r="N260" s="1" t="s">
        <v>25</v>
      </c>
      <c r="O260" t="str">
        <f t="shared" si="16"/>
        <v>Apr</v>
      </c>
      <c r="P260" t="str">
        <f t="shared" si="17"/>
        <v>2026</v>
      </c>
      <c r="Q260" s="25">
        <f t="shared" si="18"/>
        <v>130</v>
      </c>
      <c r="R260" s="29">
        <f t="shared" si="19"/>
        <v>260</v>
      </c>
    </row>
    <row r="261" spans="1:18" x14ac:dyDescent="0.25">
      <c r="A261" s="5" t="s">
        <v>500</v>
      </c>
      <c r="B261" s="3" t="s">
        <v>199</v>
      </c>
      <c r="C261" s="1" t="s">
        <v>102</v>
      </c>
      <c r="D261" s="1" t="s">
        <v>19</v>
      </c>
      <c r="E261" s="1">
        <v>52</v>
      </c>
      <c r="F261" s="1" t="s">
        <v>88</v>
      </c>
      <c r="G261" s="1" t="s">
        <v>89</v>
      </c>
      <c r="H261" s="1" t="s">
        <v>22</v>
      </c>
      <c r="I261" s="1" t="s">
        <v>23</v>
      </c>
      <c r="J261" s="1">
        <v>5</v>
      </c>
      <c r="K261" s="27">
        <v>850</v>
      </c>
      <c r="L261" s="27">
        <v>0.05</v>
      </c>
      <c r="M261" s="1" t="s">
        <v>39</v>
      </c>
      <c r="N261" s="1" t="s">
        <v>32</v>
      </c>
      <c r="O261" t="str">
        <f t="shared" si="16"/>
        <v>Mar</v>
      </c>
      <c r="P261" t="str">
        <f t="shared" si="17"/>
        <v>2026</v>
      </c>
      <c r="Q261" s="25">
        <f t="shared" si="18"/>
        <v>900</v>
      </c>
      <c r="R261" s="29">
        <f t="shared" si="19"/>
        <v>4275</v>
      </c>
    </row>
    <row r="262" spans="1:18" x14ac:dyDescent="0.25">
      <c r="A262" s="5" t="s">
        <v>501</v>
      </c>
      <c r="B262" s="3" t="s">
        <v>502</v>
      </c>
      <c r="C262" s="1" t="s">
        <v>243</v>
      </c>
      <c r="D262" s="1" t="s">
        <v>36</v>
      </c>
      <c r="E262" s="1">
        <v>46</v>
      </c>
      <c r="F262" s="1" t="s">
        <v>88</v>
      </c>
      <c r="G262" s="1" t="s">
        <v>89</v>
      </c>
      <c r="H262" s="1" t="s">
        <v>79</v>
      </c>
      <c r="I262" s="1" t="s">
        <v>23</v>
      </c>
      <c r="J262" s="1">
        <v>7</v>
      </c>
      <c r="K262" s="27">
        <v>500</v>
      </c>
      <c r="L262" s="27">
        <v>0</v>
      </c>
      <c r="M262" s="1" t="s">
        <v>39</v>
      </c>
      <c r="N262" s="1" t="s">
        <v>25</v>
      </c>
      <c r="O262" t="str">
        <f t="shared" si="16"/>
        <v>Jun</v>
      </c>
      <c r="P262" t="str">
        <f t="shared" si="17"/>
        <v>2026</v>
      </c>
      <c r="Q262" s="25">
        <f t="shared" si="18"/>
        <v>550</v>
      </c>
      <c r="R262" s="29">
        <f t="shared" si="19"/>
        <v>3850</v>
      </c>
    </row>
    <row r="263" spans="1:18" x14ac:dyDescent="0.25">
      <c r="A263" s="5" t="s">
        <v>503</v>
      </c>
      <c r="B263" s="3" t="s">
        <v>225</v>
      </c>
      <c r="C263" s="1" t="s">
        <v>180</v>
      </c>
      <c r="D263" s="1" t="s">
        <v>19</v>
      </c>
      <c r="E263" s="1">
        <v>43</v>
      </c>
      <c r="F263" s="1" t="s">
        <v>88</v>
      </c>
      <c r="G263" s="1" t="s">
        <v>89</v>
      </c>
      <c r="H263" s="1" t="s">
        <v>79</v>
      </c>
      <c r="I263" s="1" t="s">
        <v>23</v>
      </c>
      <c r="J263" s="1">
        <v>6</v>
      </c>
      <c r="K263" s="27">
        <v>500</v>
      </c>
      <c r="L263" s="27">
        <v>0.1</v>
      </c>
      <c r="M263" s="1" t="s">
        <v>24</v>
      </c>
      <c r="N263" s="1" t="s">
        <v>25</v>
      </c>
      <c r="O263" t="str">
        <f t="shared" si="16"/>
        <v>Mar</v>
      </c>
      <c r="P263" t="str">
        <f t="shared" si="17"/>
        <v>2026</v>
      </c>
      <c r="Q263" s="25">
        <f t="shared" si="18"/>
        <v>550</v>
      </c>
      <c r="R263" s="29">
        <f t="shared" si="19"/>
        <v>2970</v>
      </c>
    </row>
    <row r="264" spans="1:18" x14ac:dyDescent="0.25">
      <c r="A264" s="5" t="s">
        <v>504</v>
      </c>
      <c r="B264" s="3" t="s">
        <v>379</v>
      </c>
      <c r="C264" s="1" t="s">
        <v>188</v>
      </c>
      <c r="D264" s="1" t="s">
        <v>19</v>
      </c>
      <c r="E264" s="1">
        <v>47</v>
      </c>
      <c r="F264" s="1" t="s">
        <v>43</v>
      </c>
      <c r="G264" s="1" t="s">
        <v>44</v>
      </c>
      <c r="H264" s="1" t="s">
        <v>118</v>
      </c>
      <c r="I264" s="1" t="s">
        <v>23</v>
      </c>
      <c r="J264" s="1">
        <v>4</v>
      </c>
      <c r="K264" s="27">
        <v>180</v>
      </c>
      <c r="L264" s="27">
        <v>0.1</v>
      </c>
      <c r="M264" s="1" t="s">
        <v>58</v>
      </c>
      <c r="N264" s="1" t="s">
        <v>51</v>
      </c>
      <c r="O264" t="str">
        <f t="shared" si="16"/>
        <v>Feb</v>
      </c>
      <c r="P264" t="str">
        <f t="shared" si="17"/>
        <v>2026</v>
      </c>
      <c r="Q264" s="25">
        <f t="shared" si="18"/>
        <v>230</v>
      </c>
      <c r="R264" s="29">
        <f t="shared" si="19"/>
        <v>828</v>
      </c>
    </row>
    <row r="265" spans="1:18" x14ac:dyDescent="0.25">
      <c r="A265" s="5" t="s">
        <v>505</v>
      </c>
      <c r="B265" s="3" t="s">
        <v>310</v>
      </c>
      <c r="C265" s="1" t="s">
        <v>152</v>
      </c>
      <c r="D265" s="1" t="s">
        <v>36</v>
      </c>
      <c r="E265" s="1">
        <v>55</v>
      </c>
      <c r="F265" s="1" t="s">
        <v>29</v>
      </c>
      <c r="G265" s="1" t="s">
        <v>30</v>
      </c>
      <c r="H265" s="1" t="s">
        <v>79</v>
      </c>
      <c r="I265" s="1" t="s">
        <v>23</v>
      </c>
      <c r="J265" s="1">
        <v>8</v>
      </c>
      <c r="K265" s="27">
        <v>500</v>
      </c>
      <c r="L265" s="27">
        <v>0.15</v>
      </c>
      <c r="M265" s="1" t="s">
        <v>39</v>
      </c>
      <c r="N265" s="1" t="s">
        <v>25</v>
      </c>
      <c r="O265" t="str">
        <f t="shared" si="16"/>
        <v>Jun</v>
      </c>
      <c r="P265" t="str">
        <f t="shared" si="17"/>
        <v>2026</v>
      </c>
      <c r="Q265" s="25">
        <f t="shared" si="18"/>
        <v>550</v>
      </c>
      <c r="R265" s="29">
        <f t="shared" si="19"/>
        <v>3740</v>
      </c>
    </row>
    <row r="266" spans="1:18" x14ac:dyDescent="0.25">
      <c r="A266" s="5" t="s">
        <v>506</v>
      </c>
      <c r="B266" s="3" t="s">
        <v>148</v>
      </c>
      <c r="C266" s="1" t="s">
        <v>102</v>
      </c>
      <c r="D266" s="1" t="s">
        <v>19</v>
      </c>
      <c r="E266" s="1">
        <v>50</v>
      </c>
      <c r="F266" s="1" t="s">
        <v>29</v>
      </c>
      <c r="G266" s="1" t="s">
        <v>30</v>
      </c>
      <c r="H266" s="1" t="s">
        <v>68</v>
      </c>
      <c r="I266" s="1" t="s">
        <v>69</v>
      </c>
      <c r="J266" s="1">
        <v>8</v>
      </c>
      <c r="K266" s="27">
        <v>2</v>
      </c>
      <c r="L266" s="27">
        <v>0.1</v>
      </c>
      <c r="M266" s="1" t="s">
        <v>93</v>
      </c>
      <c r="N266" s="1" t="s">
        <v>55</v>
      </c>
      <c r="O266" t="str">
        <f t="shared" si="16"/>
        <v>Jun</v>
      </c>
      <c r="P266" t="str">
        <f t="shared" si="17"/>
        <v>2026</v>
      </c>
      <c r="Q266" s="25">
        <f t="shared" si="18"/>
        <v>52</v>
      </c>
      <c r="R266" s="29">
        <f t="shared" si="19"/>
        <v>374.40000000000003</v>
      </c>
    </row>
    <row r="267" spans="1:18" x14ac:dyDescent="0.25">
      <c r="A267" s="5" t="s">
        <v>507</v>
      </c>
      <c r="B267" s="3" t="s">
        <v>71</v>
      </c>
      <c r="C267" s="1" t="s">
        <v>251</v>
      </c>
      <c r="D267" s="1" t="s">
        <v>19</v>
      </c>
      <c r="E267" s="1">
        <v>50</v>
      </c>
      <c r="F267" s="1" t="s">
        <v>37</v>
      </c>
      <c r="G267" s="1" t="s">
        <v>38</v>
      </c>
      <c r="H267" s="1" t="s">
        <v>68</v>
      </c>
      <c r="I267" s="1" t="s">
        <v>69</v>
      </c>
      <c r="J267" s="1">
        <v>8</v>
      </c>
      <c r="K267" s="27">
        <v>2</v>
      </c>
      <c r="L267" s="27">
        <v>0.05</v>
      </c>
      <c r="M267" s="1" t="s">
        <v>39</v>
      </c>
      <c r="N267" s="1" t="s">
        <v>25</v>
      </c>
      <c r="O267" t="str">
        <f t="shared" si="16"/>
        <v>May</v>
      </c>
      <c r="P267" t="str">
        <f t="shared" si="17"/>
        <v>2026</v>
      </c>
      <c r="Q267" s="25">
        <f t="shared" si="18"/>
        <v>52</v>
      </c>
      <c r="R267" s="29">
        <f t="shared" si="19"/>
        <v>395.2</v>
      </c>
    </row>
    <row r="268" spans="1:18" x14ac:dyDescent="0.25">
      <c r="A268" s="5" t="s">
        <v>508</v>
      </c>
      <c r="B268" s="3" t="s">
        <v>265</v>
      </c>
      <c r="C268" s="1" t="s">
        <v>266</v>
      </c>
      <c r="D268" s="1" t="s">
        <v>36</v>
      </c>
      <c r="E268" s="1">
        <v>29</v>
      </c>
      <c r="F268" s="1" t="s">
        <v>29</v>
      </c>
      <c r="G268" s="1" t="s">
        <v>30</v>
      </c>
      <c r="H268" s="1" t="s">
        <v>118</v>
      </c>
      <c r="I268" s="1" t="s">
        <v>23</v>
      </c>
      <c r="J268" s="1">
        <v>4</v>
      </c>
      <c r="K268" s="27">
        <v>180</v>
      </c>
      <c r="L268" s="27">
        <v>0.05</v>
      </c>
      <c r="M268" s="1" t="s">
        <v>24</v>
      </c>
      <c r="N268" s="1" t="s">
        <v>51</v>
      </c>
      <c r="O268" t="str">
        <f t="shared" si="16"/>
        <v>Jan</v>
      </c>
      <c r="P268" t="str">
        <f t="shared" si="17"/>
        <v>2026</v>
      </c>
      <c r="Q268" s="25">
        <f t="shared" si="18"/>
        <v>230</v>
      </c>
      <c r="R268" s="29">
        <f t="shared" si="19"/>
        <v>874</v>
      </c>
    </row>
    <row r="269" spans="1:18" x14ac:dyDescent="0.25">
      <c r="A269" s="5" t="s">
        <v>509</v>
      </c>
      <c r="B269" s="3" t="s">
        <v>191</v>
      </c>
      <c r="C269" s="1" t="s">
        <v>102</v>
      </c>
      <c r="D269" s="1" t="s">
        <v>19</v>
      </c>
      <c r="E269" s="1">
        <v>59</v>
      </c>
      <c r="F269" s="1" t="s">
        <v>43</v>
      </c>
      <c r="G269" s="1" t="s">
        <v>44</v>
      </c>
      <c r="H269" s="1" t="s">
        <v>79</v>
      </c>
      <c r="I269" s="1" t="s">
        <v>23</v>
      </c>
      <c r="J269" s="1">
        <v>9</v>
      </c>
      <c r="K269" s="27">
        <v>500</v>
      </c>
      <c r="L269" s="27">
        <v>0</v>
      </c>
      <c r="M269" s="1" t="s">
        <v>58</v>
      </c>
      <c r="N269" s="1" t="s">
        <v>32</v>
      </c>
      <c r="O269" t="str">
        <f t="shared" si="16"/>
        <v>Jan</v>
      </c>
      <c r="P269" t="str">
        <f t="shared" si="17"/>
        <v>2026</v>
      </c>
      <c r="Q269" s="25">
        <f t="shared" si="18"/>
        <v>550</v>
      </c>
      <c r="R269" s="29">
        <f t="shared" si="19"/>
        <v>4950</v>
      </c>
    </row>
    <row r="270" spans="1:18" x14ac:dyDescent="0.25">
      <c r="A270" s="5" t="s">
        <v>510</v>
      </c>
      <c r="B270" s="3" t="s">
        <v>334</v>
      </c>
      <c r="C270" s="1" t="s">
        <v>82</v>
      </c>
      <c r="D270" s="1" t="s">
        <v>36</v>
      </c>
      <c r="E270" s="1">
        <v>47</v>
      </c>
      <c r="F270" s="1" t="s">
        <v>37</v>
      </c>
      <c r="G270" s="1" t="s">
        <v>38</v>
      </c>
      <c r="H270" s="1" t="s">
        <v>68</v>
      </c>
      <c r="I270" s="1" t="s">
        <v>69</v>
      </c>
      <c r="J270" s="1">
        <v>5</v>
      </c>
      <c r="K270" s="27">
        <v>2</v>
      </c>
      <c r="L270" s="27">
        <v>0</v>
      </c>
      <c r="M270" s="1" t="s">
        <v>31</v>
      </c>
      <c r="N270" s="1" t="s">
        <v>25</v>
      </c>
      <c r="O270" t="str">
        <f t="shared" si="16"/>
        <v>Mar</v>
      </c>
      <c r="P270" t="str">
        <f t="shared" si="17"/>
        <v>2026</v>
      </c>
      <c r="Q270" s="25">
        <f t="shared" si="18"/>
        <v>52</v>
      </c>
      <c r="R270" s="29">
        <f t="shared" si="19"/>
        <v>260</v>
      </c>
    </row>
    <row r="271" spans="1:18" x14ac:dyDescent="0.25">
      <c r="A271" s="5" t="s">
        <v>511</v>
      </c>
      <c r="B271" s="3" t="s">
        <v>148</v>
      </c>
      <c r="C271" s="1" t="s">
        <v>65</v>
      </c>
      <c r="D271" s="1" t="s">
        <v>19</v>
      </c>
      <c r="E271" s="1">
        <v>59</v>
      </c>
      <c r="F271" s="1" t="s">
        <v>88</v>
      </c>
      <c r="G271" s="1" t="s">
        <v>89</v>
      </c>
      <c r="H271" s="1" t="s">
        <v>118</v>
      </c>
      <c r="I271" s="1" t="s">
        <v>23</v>
      </c>
      <c r="J271" s="1">
        <v>7</v>
      </c>
      <c r="K271" s="27">
        <v>180</v>
      </c>
      <c r="L271" s="27">
        <v>0.05</v>
      </c>
      <c r="M271" s="1" t="s">
        <v>93</v>
      </c>
      <c r="N271" s="1" t="s">
        <v>25</v>
      </c>
      <c r="O271" t="str">
        <f t="shared" si="16"/>
        <v>Jun</v>
      </c>
      <c r="P271" t="str">
        <f t="shared" si="17"/>
        <v>2026</v>
      </c>
      <c r="Q271" s="25">
        <f t="shared" si="18"/>
        <v>230</v>
      </c>
      <c r="R271" s="29">
        <f t="shared" si="19"/>
        <v>1529.5</v>
      </c>
    </row>
    <row r="272" spans="1:18" x14ac:dyDescent="0.25">
      <c r="A272" s="5" t="s">
        <v>512</v>
      </c>
      <c r="B272" s="3" t="s">
        <v>513</v>
      </c>
      <c r="C272" s="1" t="s">
        <v>54</v>
      </c>
      <c r="D272" s="1" t="s">
        <v>19</v>
      </c>
      <c r="E272" s="1">
        <v>30</v>
      </c>
      <c r="F272" s="1" t="s">
        <v>29</v>
      </c>
      <c r="G272" s="1" t="s">
        <v>30</v>
      </c>
      <c r="H272" s="1" t="s">
        <v>118</v>
      </c>
      <c r="I272" s="1" t="s">
        <v>23</v>
      </c>
      <c r="J272" s="1">
        <v>6</v>
      </c>
      <c r="K272" s="27">
        <v>180</v>
      </c>
      <c r="L272" s="27">
        <v>0</v>
      </c>
      <c r="M272" s="1" t="s">
        <v>24</v>
      </c>
      <c r="N272" s="1" t="s">
        <v>51</v>
      </c>
      <c r="O272" t="str">
        <f t="shared" si="16"/>
        <v>Jun</v>
      </c>
      <c r="P272" t="str">
        <f t="shared" si="17"/>
        <v>2026</v>
      </c>
      <c r="Q272" s="25">
        <f t="shared" si="18"/>
        <v>230</v>
      </c>
      <c r="R272" s="29">
        <f t="shared" si="19"/>
        <v>1380</v>
      </c>
    </row>
    <row r="273" spans="1:18" x14ac:dyDescent="0.25">
      <c r="A273" s="5" t="s">
        <v>514</v>
      </c>
      <c r="B273" s="3" t="s">
        <v>57</v>
      </c>
      <c r="C273" s="1" t="s">
        <v>42</v>
      </c>
      <c r="D273" s="1" t="s">
        <v>19</v>
      </c>
      <c r="E273" s="1">
        <v>40</v>
      </c>
      <c r="F273" s="1" t="s">
        <v>20</v>
      </c>
      <c r="G273" s="1" t="s">
        <v>21</v>
      </c>
      <c r="H273" s="1" t="s">
        <v>62</v>
      </c>
      <c r="I273" s="1" t="s">
        <v>23</v>
      </c>
      <c r="J273" s="1">
        <v>9</v>
      </c>
      <c r="K273" s="27">
        <v>15</v>
      </c>
      <c r="L273" s="27">
        <v>0.1</v>
      </c>
      <c r="M273" s="1" t="s">
        <v>45</v>
      </c>
      <c r="N273" s="1" t="s">
        <v>55</v>
      </c>
      <c r="O273" t="str">
        <f t="shared" si="16"/>
        <v>Mar</v>
      </c>
      <c r="P273" t="str">
        <f t="shared" si="17"/>
        <v>2026</v>
      </c>
      <c r="Q273" s="25">
        <f t="shared" si="18"/>
        <v>65</v>
      </c>
      <c r="R273" s="29">
        <f t="shared" si="19"/>
        <v>526.5</v>
      </c>
    </row>
    <row r="274" spans="1:18" x14ac:dyDescent="0.25">
      <c r="A274" s="5" t="s">
        <v>515</v>
      </c>
      <c r="B274" s="3" t="s">
        <v>516</v>
      </c>
      <c r="C274" s="1" t="s">
        <v>78</v>
      </c>
      <c r="D274" s="1" t="s">
        <v>19</v>
      </c>
      <c r="E274" s="1">
        <v>32</v>
      </c>
      <c r="F274" s="1" t="s">
        <v>37</v>
      </c>
      <c r="G274" s="1" t="s">
        <v>38</v>
      </c>
      <c r="H274" s="1" t="s">
        <v>73</v>
      </c>
      <c r="I274" s="1" t="s">
        <v>69</v>
      </c>
      <c r="J274" s="1">
        <v>8</v>
      </c>
      <c r="K274" s="27">
        <v>5</v>
      </c>
      <c r="L274" s="27">
        <v>0.15</v>
      </c>
      <c r="M274" s="1" t="s">
        <v>45</v>
      </c>
      <c r="N274" s="1" t="s">
        <v>25</v>
      </c>
      <c r="O274" t="str">
        <f t="shared" si="16"/>
        <v>Jan</v>
      </c>
      <c r="P274" t="str">
        <f t="shared" si="17"/>
        <v>2026</v>
      </c>
      <c r="Q274" s="25">
        <f t="shared" si="18"/>
        <v>55</v>
      </c>
      <c r="R274" s="29">
        <f t="shared" si="19"/>
        <v>374</v>
      </c>
    </row>
    <row r="275" spans="1:18" x14ac:dyDescent="0.25">
      <c r="A275" s="5" t="s">
        <v>517</v>
      </c>
      <c r="B275" s="3" t="s">
        <v>468</v>
      </c>
      <c r="C275" s="1" t="s">
        <v>289</v>
      </c>
      <c r="D275" s="1" t="s">
        <v>19</v>
      </c>
      <c r="E275" s="1">
        <v>48</v>
      </c>
      <c r="F275" s="1" t="s">
        <v>37</v>
      </c>
      <c r="G275" s="1" t="s">
        <v>38</v>
      </c>
      <c r="H275" s="1" t="s">
        <v>109</v>
      </c>
      <c r="I275" s="1" t="s">
        <v>50</v>
      </c>
      <c r="J275" s="1">
        <v>3</v>
      </c>
      <c r="K275" s="27">
        <v>80</v>
      </c>
      <c r="L275" s="27">
        <v>0.05</v>
      </c>
      <c r="M275" s="1" t="s">
        <v>39</v>
      </c>
      <c r="N275" s="1" t="s">
        <v>32</v>
      </c>
      <c r="O275" t="str">
        <f t="shared" si="16"/>
        <v>Apr</v>
      </c>
      <c r="P275" t="str">
        <f t="shared" si="17"/>
        <v>2026</v>
      </c>
      <c r="Q275" s="25">
        <f t="shared" si="18"/>
        <v>130</v>
      </c>
      <c r="R275" s="29">
        <f t="shared" si="19"/>
        <v>370.5</v>
      </c>
    </row>
    <row r="276" spans="1:18" x14ac:dyDescent="0.25">
      <c r="A276" s="5" t="s">
        <v>518</v>
      </c>
      <c r="B276" s="3" t="s">
        <v>277</v>
      </c>
      <c r="C276" s="1" t="s">
        <v>256</v>
      </c>
      <c r="D276" s="1" t="s">
        <v>36</v>
      </c>
      <c r="E276" s="1">
        <v>26</v>
      </c>
      <c r="F276" s="1" t="s">
        <v>29</v>
      </c>
      <c r="G276" s="1" t="s">
        <v>30</v>
      </c>
      <c r="H276" s="1" t="s">
        <v>22</v>
      </c>
      <c r="I276" s="1" t="s">
        <v>23</v>
      </c>
      <c r="J276" s="1">
        <v>6</v>
      </c>
      <c r="K276" s="27">
        <v>850</v>
      </c>
      <c r="L276" s="27">
        <v>0.15</v>
      </c>
      <c r="M276" s="1" t="s">
        <v>39</v>
      </c>
      <c r="N276" s="1" t="s">
        <v>55</v>
      </c>
      <c r="O276" t="str">
        <f t="shared" si="16"/>
        <v>Apr</v>
      </c>
      <c r="P276" t="str">
        <f t="shared" si="17"/>
        <v>2026</v>
      </c>
      <c r="Q276" s="25">
        <f t="shared" si="18"/>
        <v>900</v>
      </c>
      <c r="R276" s="29">
        <f t="shared" si="19"/>
        <v>4590</v>
      </c>
    </row>
    <row r="277" spans="1:18" x14ac:dyDescent="0.25">
      <c r="A277" s="5" t="s">
        <v>519</v>
      </c>
      <c r="B277" s="3" t="s">
        <v>248</v>
      </c>
      <c r="C277" s="1" t="s">
        <v>350</v>
      </c>
      <c r="D277" s="1" t="s">
        <v>36</v>
      </c>
      <c r="E277" s="1">
        <v>39</v>
      </c>
      <c r="F277" s="1" t="s">
        <v>37</v>
      </c>
      <c r="G277" s="1" t="s">
        <v>38</v>
      </c>
      <c r="H277" s="1" t="s">
        <v>73</v>
      </c>
      <c r="I277" s="1" t="s">
        <v>69</v>
      </c>
      <c r="J277" s="1">
        <v>8</v>
      </c>
      <c r="K277" s="27">
        <v>5</v>
      </c>
      <c r="L277" s="27">
        <v>0</v>
      </c>
      <c r="M277" s="1" t="s">
        <v>24</v>
      </c>
      <c r="N277" s="1" t="s">
        <v>25</v>
      </c>
      <c r="O277" t="str">
        <f t="shared" si="16"/>
        <v>Mar</v>
      </c>
      <c r="P277" t="str">
        <f t="shared" si="17"/>
        <v>2026</v>
      </c>
      <c r="Q277" s="25">
        <f t="shared" si="18"/>
        <v>55</v>
      </c>
      <c r="R277" s="29">
        <f t="shared" si="19"/>
        <v>440</v>
      </c>
    </row>
    <row r="278" spans="1:18" x14ac:dyDescent="0.25">
      <c r="A278" s="5" t="s">
        <v>520</v>
      </c>
      <c r="B278" s="3" t="s">
        <v>398</v>
      </c>
      <c r="C278" s="1" t="s">
        <v>268</v>
      </c>
      <c r="D278" s="1" t="s">
        <v>36</v>
      </c>
      <c r="E278" s="1">
        <v>23</v>
      </c>
      <c r="F278" s="1" t="s">
        <v>37</v>
      </c>
      <c r="G278" s="1" t="s">
        <v>38</v>
      </c>
      <c r="H278" s="1" t="s">
        <v>62</v>
      </c>
      <c r="I278" s="1" t="s">
        <v>23</v>
      </c>
      <c r="J278" s="1">
        <v>7</v>
      </c>
      <c r="K278" s="27">
        <v>15</v>
      </c>
      <c r="L278" s="27">
        <v>0.05</v>
      </c>
      <c r="M278" s="1" t="s">
        <v>45</v>
      </c>
      <c r="N278" s="1" t="s">
        <v>51</v>
      </c>
      <c r="O278" t="str">
        <f t="shared" si="16"/>
        <v>Jan</v>
      </c>
      <c r="P278" t="str">
        <f t="shared" si="17"/>
        <v>2026</v>
      </c>
      <c r="Q278" s="25">
        <f t="shared" si="18"/>
        <v>65</v>
      </c>
      <c r="R278" s="29">
        <f t="shared" si="19"/>
        <v>432.25</v>
      </c>
    </row>
    <row r="279" spans="1:18" x14ac:dyDescent="0.25">
      <c r="A279" s="5" t="s">
        <v>521</v>
      </c>
      <c r="B279" s="3" t="s">
        <v>265</v>
      </c>
      <c r="C279" s="1" t="s">
        <v>108</v>
      </c>
      <c r="D279" s="1" t="s">
        <v>19</v>
      </c>
      <c r="E279" s="1">
        <v>38</v>
      </c>
      <c r="F279" s="1" t="s">
        <v>29</v>
      </c>
      <c r="G279" s="1" t="s">
        <v>30</v>
      </c>
      <c r="H279" s="1" t="s">
        <v>118</v>
      </c>
      <c r="I279" s="1" t="s">
        <v>23</v>
      </c>
      <c r="J279" s="1">
        <v>3</v>
      </c>
      <c r="K279" s="27">
        <v>180</v>
      </c>
      <c r="L279" s="27">
        <v>0</v>
      </c>
      <c r="M279" s="1" t="s">
        <v>24</v>
      </c>
      <c r="N279" s="1" t="s">
        <v>55</v>
      </c>
      <c r="O279" t="str">
        <f t="shared" si="16"/>
        <v>Jan</v>
      </c>
      <c r="P279" t="str">
        <f t="shared" si="17"/>
        <v>2026</v>
      </c>
      <c r="Q279" s="25">
        <f t="shared" si="18"/>
        <v>230</v>
      </c>
      <c r="R279" s="29">
        <f t="shared" si="19"/>
        <v>690</v>
      </c>
    </row>
    <row r="280" spans="1:18" x14ac:dyDescent="0.25">
      <c r="A280" s="5" t="s">
        <v>522</v>
      </c>
      <c r="B280" s="3" t="s">
        <v>201</v>
      </c>
      <c r="C280" s="1" t="s">
        <v>28</v>
      </c>
      <c r="D280" s="1" t="s">
        <v>36</v>
      </c>
      <c r="E280" s="1">
        <v>43</v>
      </c>
      <c r="F280" s="1" t="s">
        <v>37</v>
      </c>
      <c r="G280" s="1" t="s">
        <v>38</v>
      </c>
      <c r="H280" s="1" t="s">
        <v>22</v>
      </c>
      <c r="I280" s="1" t="s">
        <v>23</v>
      </c>
      <c r="J280" s="1">
        <v>2</v>
      </c>
      <c r="K280" s="27">
        <v>850</v>
      </c>
      <c r="L280" s="27">
        <v>0.05</v>
      </c>
      <c r="M280" s="1" t="s">
        <v>93</v>
      </c>
      <c r="N280" s="1" t="s">
        <v>32</v>
      </c>
      <c r="O280" t="str">
        <f t="shared" si="16"/>
        <v>May</v>
      </c>
      <c r="P280" t="str">
        <f t="shared" si="17"/>
        <v>2026</v>
      </c>
      <c r="Q280" s="25">
        <f t="shared" si="18"/>
        <v>900</v>
      </c>
      <c r="R280" s="29">
        <f t="shared" si="19"/>
        <v>1710</v>
      </c>
    </row>
    <row r="281" spans="1:18" x14ac:dyDescent="0.25">
      <c r="A281" s="5" t="s">
        <v>523</v>
      </c>
      <c r="B281" s="3" t="s">
        <v>427</v>
      </c>
      <c r="C281" s="1" t="s">
        <v>108</v>
      </c>
      <c r="D281" s="1" t="s">
        <v>36</v>
      </c>
      <c r="E281" s="1">
        <v>24</v>
      </c>
      <c r="F281" s="1" t="s">
        <v>88</v>
      </c>
      <c r="G281" s="1" t="s">
        <v>89</v>
      </c>
      <c r="H281" s="1" t="s">
        <v>49</v>
      </c>
      <c r="I281" s="1" t="s">
        <v>50</v>
      </c>
      <c r="J281" s="1">
        <v>1</v>
      </c>
      <c r="K281" s="27">
        <v>120</v>
      </c>
      <c r="L281" s="27">
        <v>0.05</v>
      </c>
      <c r="M281" s="1" t="s">
        <v>31</v>
      </c>
      <c r="N281" s="1" t="s">
        <v>51</v>
      </c>
      <c r="O281" t="str">
        <f t="shared" si="16"/>
        <v>Apr</v>
      </c>
      <c r="P281" t="str">
        <f t="shared" si="17"/>
        <v>2026</v>
      </c>
      <c r="Q281" s="25">
        <f t="shared" si="18"/>
        <v>170</v>
      </c>
      <c r="R281" s="29">
        <f t="shared" si="19"/>
        <v>161.5</v>
      </c>
    </row>
    <row r="282" spans="1:18" x14ac:dyDescent="0.25">
      <c r="A282" s="5" t="s">
        <v>524</v>
      </c>
      <c r="B282" s="3" t="s">
        <v>472</v>
      </c>
      <c r="C282" s="1" t="s">
        <v>258</v>
      </c>
      <c r="D282" s="1" t="s">
        <v>36</v>
      </c>
      <c r="E282" s="1">
        <v>36</v>
      </c>
      <c r="F282" s="1" t="s">
        <v>29</v>
      </c>
      <c r="G282" s="1" t="s">
        <v>30</v>
      </c>
      <c r="H282" s="1" t="s">
        <v>118</v>
      </c>
      <c r="I282" s="1" t="s">
        <v>23</v>
      </c>
      <c r="J282" s="1">
        <v>4</v>
      </c>
      <c r="K282" s="27">
        <v>180</v>
      </c>
      <c r="L282" s="27">
        <v>0.15</v>
      </c>
      <c r="M282" s="1" t="s">
        <v>45</v>
      </c>
      <c r="N282" s="1" t="s">
        <v>32</v>
      </c>
      <c r="O282" t="str">
        <f t="shared" si="16"/>
        <v>Jan</v>
      </c>
      <c r="P282" t="str">
        <f t="shared" si="17"/>
        <v>2026</v>
      </c>
      <c r="Q282" s="25">
        <f t="shared" si="18"/>
        <v>230</v>
      </c>
      <c r="R282" s="29">
        <f t="shared" si="19"/>
        <v>782</v>
      </c>
    </row>
    <row r="283" spans="1:18" x14ac:dyDescent="0.25">
      <c r="A283" s="5" t="s">
        <v>525</v>
      </c>
      <c r="B283" s="3" t="s">
        <v>91</v>
      </c>
      <c r="C283" s="1" t="s">
        <v>243</v>
      </c>
      <c r="D283" s="1" t="s">
        <v>36</v>
      </c>
      <c r="E283" s="1">
        <v>27</v>
      </c>
      <c r="F283" s="1" t="s">
        <v>43</v>
      </c>
      <c r="G283" s="1" t="s">
        <v>44</v>
      </c>
      <c r="H283" s="1" t="s">
        <v>49</v>
      </c>
      <c r="I283" s="1" t="s">
        <v>50</v>
      </c>
      <c r="J283" s="1">
        <v>1</v>
      </c>
      <c r="K283" s="27">
        <v>120</v>
      </c>
      <c r="L283" s="27">
        <v>0</v>
      </c>
      <c r="M283" s="1" t="s">
        <v>93</v>
      </c>
      <c r="N283" s="1" t="s">
        <v>32</v>
      </c>
      <c r="O283" t="str">
        <f t="shared" si="16"/>
        <v>May</v>
      </c>
      <c r="P283" t="str">
        <f t="shared" si="17"/>
        <v>2026</v>
      </c>
      <c r="Q283" s="25">
        <f t="shared" si="18"/>
        <v>170</v>
      </c>
      <c r="R283" s="29">
        <f t="shared" si="19"/>
        <v>170</v>
      </c>
    </row>
    <row r="284" spans="1:18" x14ac:dyDescent="0.25">
      <c r="A284" s="5" t="s">
        <v>526</v>
      </c>
      <c r="B284" s="3" t="s">
        <v>427</v>
      </c>
      <c r="C284" s="1" t="s">
        <v>78</v>
      </c>
      <c r="D284" s="1" t="s">
        <v>19</v>
      </c>
      <c r="E284" s="1">
        <v>31</v>
      </c>
      <c r="F284" s="1" t="s">
        <v>29</v>
      </c>
      <c r="G284" s="1" t="s">
        <v>30</v>
      </c>
      <c r="H284" s="1" t="s">
        <v>68</v>
      </c>
      <c r="I284" s="1" t="s">
        <v>69</v>
      </c>
      <c r="J284" s="1">
        <v>6</v>
      </c>
      <c r="K284" s="27">
        <v>2</v>
      </c>
      <c r="L284" s="27">
        <v>0</v>
      </c>
      <c r="M284" s="1" t="s">
        <v>58</v>
      </c>
      <c r="N284" s="1" t="s">
        <v>32</v>
      </c>
      <c r="O284" t="str">
        <f t="shared" si="16"/>
        <v>Apr</v>
      </c>
      <c r="P284" t="str">
        <f t="shared" si="17"/>
        <v>2026</v>
      </c>
      <c r="Q284" s="25">
        <f t="shared" si="18"/>
        <v>52</v>
      </c>
      <c r="R284" s="29">
        <f t="shared" si="19"/>
        <v>312</v>
      </c>
    </row>
    <row r="285" spans="1:18" x14ac:dyDescent="0.25">
      <c r="A285" s="5" t="s">
        <v>527</v>
      </c>
      <c r="B285" s="3" t="s">
        <v>312</v>
      </c>
      <c r="C285" s="1" t="s">
        <v>318</v>
      </c>
      <c r="D285" s="1" t="s">
        <v>19</v>
      </c>
      <c r="E285" s="1">
        <v>60</v>
      </c>
      <c r="F285" s="1" t="s">
        <v>37</v>
      </c>
      <c r="G285" s="1" t="s">
        <v>38</v>
      </c>
      <c r="H285" s="1" t="s">
        <v>62</v>
      </c>
      <c r="I285" s="1" t="s">
        <v>23</v>
      </c>
      <c r="J285" s="1">
        <v>8</v>
      </c>
      <c r="K285" s="27">
        <v>15</v>
      </c>
      <c r="L285" s="27">
        <v>0.1</v>
      </c>
      <c r="M285" s="1" t="s">
        <v>58</v>
      </c>
      <c r="N285" s="1" t="s">
        <v>51</v>
      </c>
      <c r="O285" t="str">
        <f t="shared" si="16"/>
        <v>Jan</v>
      </c>
      <c r="P285" t="str">
        <f t="shared" si="17"/>
        <v>2026</v>
      </c>
      <c r="Q285" s="25">
        <f t="shared" si="18"/>
        <v>65</v>
      </c>
      <c r="R285" s="29">
        <f t="shared" si="19"/>
        <v>468</v>
      </c>
    </row>
    <row r="286" spans="1:18" x14ac:dyDescent="0.25">
      <c r="A286" s="5" t="s">
        <v>528</v>
      </c>
      <c r="B286" s="3" t="s">
        <v>95</v>
      </c>
      <c r="C286" s="1" t="s">
        <v>102</v>
      </c>
      <c r="D286" s="1" t="s">
        <v>19</v>
      </c>
      <c r="E286" s="1">
        <v>54</v>
      </c>
      <c r="F286" s="1" t="s">
        <v>88</v>
      </c>
      <c r="G286" s="1" t="s">
        <v>89</v>
      </c>
      <c r="H286" s="1" t="s">
        <v>73</v>
      </c>
      <c r="I286" s="1" t="s">
        <v>69</v>
      </c>
      <c r="J286" s="1">
        <v>9</v>
      </c>
      <c r="K286" s="27">
        <v>5</v>
      </c>
      <c r="L286" s="27">
        <v>0.1</v>
      </c>
      <c r="M286" s="1" t="s">
        <v>93</v>
      </c>
      <c r="N286" s="1" t="s">
        <v>32</v>
      </c>
      <c r="O286" t="str">
        <f t="shared" si="16"/>
        <v>May</v>
      </c>
      <c r="P286" t="str">
        <f t="shared" si="17"/>
        <v>2026</v>
      </c>
      <c r="Q286" s="25">
        <f t="shared" si="18"/>
        <v>55</v>
      </c>
      <c r="R286" s="29">
        <f t="shared" si="19"/>
        <v>445.5</v>
      </c>
    </row>
    <row r="287" spans="1:18" x14ac:dyDescent="0.25">
      <c r="A287" s="5" t="s">
        <v>529</v>
      </c>
      <c r="B287" s="3" t="s">
        <v>425</v>
      </c>
      <c r="C287" s="1" t="s">
        <v>65</v>
      </c>
      <c r="D287" s="1" t="s">
        <v>36</v>
      </c>
      <c r="E287" s="1">
        <v>27</v>
      </c>
      <c r="F287" s="1" t="s">
        <v>20</v>
      </c>
      <c r="G287" s="1" t="s">
        <v>21</v>
      </c>
      <c r="H287" s="1" t="s">
        <v>73</v>
      </c>
      <c r="I287" s="1" t="s">
        <v>69</v>
      </c>
      <c r="J287" s="1">
        <v>5</v>
      </c>
      <c r="K287" s="27">
        <v>5</v>
      </c>
      <c r="L287" s="27">
        <v>0.1</v>
      </c>
      <c r="M287" s="1" t="s">
        <v>58</v>
      </c>
      <c r="N287" s="1" t="s">
        <v>51</v>
      </c>
      <c r="O287" t="str">
        <f t="shared" si="16"/>
        <v>Mar</v>
      </c>
      <c r="P287" t="str">
        <f t="shared" si="17"/>
        <v>2026</v>
      </c>
      <c r="Q287" s="25">
        <f t="shared" si="18"/>
        <v>55</v>
      </c>
      <c r="R287" s="29">
        <f t="shared" si="19"/>
        <v>247.5</v>
      </c>
    </row>
    <row r="288" spans="1:18" x14ac:dyDescent="0.25">
      <c r="A288" s="5" t="s">
        <v>530</v>
      </c>
      <c r="B288" s="3" t="s">
        <v>339</v>
      </c>
      <c r="C288" s="1" t="s">
        <v>350</v>
      </c>
      <c r="D288" s="1" t="s">
        <v>19</v>
      </c>
      <c r="E288" s="1">
        <v>59</v>
      </c>
      <c r="F288" s="1" t="s">
        <v>88</v>
      </c>
      <c r="G288" s="1" t="s">
        <v>89</v>
      </c>
      <c r="H288" s="1" t="s">
        <v>68</v>
      </c>
      <c r="I288" s="1" t="s">
        <v>69</v>
      </c>
      <c r="J288" s="1">
        <v>4</v>
      </c>
      <c r="K288" s="27">
        <v>2</v>
      </c>
      <c r="L288" s="27">
        <v>0</v>
      </c>
      <c r="M288" s="1" t="s">
        <v>93</v>
      </c>
      <c r="N288" s="1" t="s">
        <v>55</v>
      </c>
      <c r="O288" t="str">
        <f t="shared" si="16"/>
        <v>May</v>
      </c>
      <c r="P288" t="str">
        <f t="shared" si="17"/>
        <v>2026</v>
      </c>
      <c r="Q288" s="25">
        <f t="shared" si="18"/>
        <v>52</v>
      </c>
      <c r="R288" s="29">
        <f t="shared" si="19"/>
        <v>208</v>
      </c>
    </row>
    <row r="289" spans="1:18" x14ac:dyDescent="0.25">
      <c r="A289" s="5" t="s">
        <v>531</v>
      </c>
      <c r="B289" s="3" t="s">
        <v>365</v>
      </c>
      <c r="C289" s="1" t="s">
        <v>180</v>
      </c>
      <c r="D289" s="1" t="s">
        <v>36</v>
      </c>
      <c r="E289" s="1">
        <v>37</v>
      </c>
      <c r="F289" s="1" t="s">
        <v>29</v>
      </c>
      <c r="G289" s="1" t="s">
        <v>30</v>
      </c>
      <c r="H289" s="1" t="s">
        <v>79</v>
      </c>
      <c r="I289" s="1" t="s">
        <v>23</v>
      </c>
      <c r="J289" s="1">
        <v>7</v>
      </c>
      <c r="K289" s="27">
        <v>500</v>
      </c>
      <c r="L289" s="27">
        <v>0.05</v>
      </c>
      <c r="M289" s="1" t="s">
        <v>31</v>
      </c>
      <c r="N289" s="1" t="s">
        <v>51</v>
      </c>
      <c r="O289" t="str">
        <f t="shared" si="16"/>
        <v>Mar</v>
      </c>
      <c r="P289" t="str">
        <f t="shared" si="17"/>
        <v>2026</v>
      </c>
      <c r="Q289" s="25">
        <f t="shared" si="18"/>
        <v>550</v>
      </c>
      <c r="R289" s="29">
        <f t="shared" si="19"/>
        <v>3657.5</v>
      </c>
    </row>
    <row r="290" spans="1:18" x14ac:dyDescent="0.25">
      <c r="A290" s="5" t="s">
        <v>532</v>
      </c>
      <c r="B290" s="3" t="s">
        <v>286</v>
      </c>
      <c r="C290" s="1" t="s">
        <v>108</v>
      </c>
      <c r="D290" s="1" t="s">
        <v>19</v>
      </c>
      <c r="E290" s="1">
        <v>36</v>
      </c>
      <c r="F290" s="1" t="s">
        <v>29</v>
      </c>
      <c r="G290" s="1" t="s">
        <v>30</v>
      </c>
      <c r="H290" s="1" t="s">
        <v>22</v>
      </c>
      <c r="I290" s="1" t="s">
        <v>23</v>
      </c>
      <c r="J290" s="1">
        <v>10</v>
      </c>
      <c r="K290" s="27">
        <v>850</v>
      </c>
      <c r="L290" s="27">
        <v>0.1</v>
      </c>
      <c r="M290" s="1" t="s">
        <v>93</v>
      </c>
      <c r="N290" s="1" t="s">
        <v>55</v>
      </c>
      <c r="O290" t="str">
        <f t="shared" si="16"/>
        <v>May</v>
      </c>
      <c r="P290" t="str">
        <f t="shared" si="17"/>
        <v>2026</v>
      </c>
      <c r="Q290" s="25">
        <f t="shared" si="18"/>
        <v>900</v>
      </c>
      <c r="R290" s="29">
        <f t="shared" si="19"/>
        <v>8100</v>
      </c>
    </row>
    <row r="291" spans="1:18" x14ac:dyDescent="0.25">
      <c r="A291" s="5" t="s">
        <v>533</v>
      </c>
      <c r="B291" s="3" t="s">
        <v>162</v>
      </c>
      <c r="C291" s="1" t="s">
        <v>126</v>
      </c>
      <c r="D291" s="1" t="s">
        <v>19</v>
      </c>
      <c r="E291" s="1">
        <v>23</v>
      </c>
      <c r="F291" s="1" t="s">
        <v>43</v>
      </c>
      <c r="G291" s="1" t="s">
        <v>44</v>
      </c>
      <c r="H291" s="1" t="s">
        <v>22</v>
      </c>
      <c r="I291" s="1" t="s">
        <v>23</v>
      </c>
      <c r="J291" s="1">
        <v>10</v>
      </c>
      <c r="K291" s="27">
        <v>850</v>
      </c>
      <c r="L291" s="27">
        <v>0</v>
      </c>
      <c r="M291" s="1" t="s">
        <v>24</v>
      </c>
      <c r="N291" s="1" t="s">
        <v>51</v>
      </c>
      <c r="O291" t="str">
        <f t="shared" si="16"/>
        <v>Apr</v>
      </c>
      <c r="P291" t="str">
        <f t="shared" si="17"/>
        <v>2026</v>
      </c>
      <c r="Q291" s="25">
        <f t="shared" si="18"/>
        <v>900</v>
      </c>
      <c r="R291" s="29">
        <f t="shared" si="19"/>
        <v>9000</v>
      </c>
    </row>
    <row r="292" spans="1:18" x14ac:dyDescent="0.25">
      <c r="A292" s="5" t="s">
        <v>534</v>
      </c>
      <c r="B292" s="3" t="s">
        <v>64</v>
      </c>
      <c r="C292" s="1" t="s">
        <v>108</v>
      </c>
      <c r="D292" s="1" t="s">
        <v>19</v>
      </c>
      <c r="E292" s="1">
        <v>57</v>
      </c>
      <c r="F292" s="1" t="s">
        <v>88</v>
      </c>
      <c r="G292" s="1" t="s">
        <v>89</v>
      </c>
      <c r="H292" s="1" t="s">
        <v>62</v>
      </c>
      <c r="I292" s="1" t="s">
        <v>23</v>
      </c>
      <c r="J292" s="1">
        <v>10</v>
      </c>
      <c r="K292" s="27">
        <v>15</v>
      </c>
      <c r="L292" s="27">
        <v>0</v>
      </c>
      <c r="M292" s="1" t="s">
        <v>39</v>
      </c>
      <c r="N292" s="1" t="s">
        <v>55</v>
      </c>
      <c r="O292" t="str">
        <f t="shared" si="16"/>
        <v>Apr</v>
      </c>
      <c r="P292" t="str">
        <f t="shared" si="17"/>
        <v>2026</v>
      </c>
      <c r="Q292" s="25">
        <f t="shared" si="18"/>
        <v>65</v>
      </c>
      <c r="R292" s="29">
        <f t="shared" si="19"/>
        <v>650</v>
      </c>
    </row>
    <row r="293" spans="1:18" x14ac:dyDescent="0.25">
      <c r="A293" s="5" t="s">
        <v>535</v>
      </c>
      <c r="B293" s="3" t="s">
        <v>47</v>
      </c>
      <c r="C293" s="1" t="s">
        <v>233</v>
      </c>
      <c r="D293" s="1" t="s">
        <v>36</v>
      </c>
      <c r="E293" s="1">
        <v>43</v>
      </c>
      <c r="F293" s="1" t="s">
        <v>29</v>
      </c>
      <c r="G293" s="1" t="s">
        <v>30</v>
      </c>
      <c r="H293" s="1" t="s">
        <v>22</v>
      </c>
      <c r="I293" s="1" t="s">
        <v>23</v>
      </c>
      <c r="J293" s="1">
        <v>9</v>
      </c>
      <c r="K293" s="27">
        <v>850</v>
      </c>
      <c r="L293" s="27">
        <v>0.05</v>
      </c>
      <c r="M293" s="1" t="s">
        <v>45</v>
      </c>
      <c r="N293" s="1" t="s">
        <v>51</v>
      </c>
      <c r="O293" t="str">
        <f t="shared" si="16"/>
        <v>Mar</v>
      </c>
      <c r="P293" t="str">
        <f t="shared" si="17"/>
        <v>2026</v>
      </c>
      <c r="Q293" s="25">
        <f t="shared" si="18"/>
        <v>900</v>
      </c>
      <c r="R293" s="29">
        <f t="shared" si="19"/>
        <v>7695</v>
      </c>
    </row>
    <row r="294" spans="1:18" x14ac:dyDescent="0.25">
      <c r="A294" s="5" t="s">
        <v>536</v>
      </c>
      <c r="B294" s="3" t="s">
        <v>537</v>
      </c>
      <c r="C294" s="1" t="s">
        <v>182</v>
      </c>
      <c r="D294" s="1" t="s">
        <v>36</v>
      </c>
      <c r="E294" s="1">
        <v>23</v>
      </c>
      <c r="F294" s="1" t="s">
        <v>20</v>
      </c>
      <c r="G294" s="1" t="s">
        <v>21</v>
      </c>
      <c r="H294" s="1" t="s">
        <v>79</v>
      </c>
      <c r="I294" s="1" t="s">
        <v>23</v>
      </c>
      <c r="J294" s="1">
        <v>4</v>
      </c>
      <c r="K294" s="27">
        <v>500</v>
      </c>
      <c r="L294" s="27">
        <v>0.05</v>
      </c>
      <c r="M294" s="1" t="s">
        <v>24</v>
      </c>
      <c r="N294" s="1" t="s">
        <v>51</v>
      </c>
      <c r="O294" t="str">
        <f t="shared" si="16"/>
        <v>Feb</v>
      </c>
      <c r="P294" t="str">
        <f t="shared" si="17"/>
        <v>2026</v>
      </c>
      <c r="Q294" s="25">
        <f t="shared" si="18"/>
        <v>550</v>
      </c>
      <c r="R294" s="29">
        <f t="shared" si="19"/>
        <v>2090</v>
      </c>
    </row>
    <row r="295" spans="1:18" x14ac:dyDescent="0.25">
      <c r="A295" s="5" t="s">
        <v>538</v>
      </c>
      <c r="B295" s="3" t="s">
        <v>191</v>
      </c>
      <c r="C295" s="1" t="s">
        <v>182</v>
      </c>
      <c r="D295" s="1" t="s">
        <v>36</v>
      </c>
      <c r="E295" s="1">
        <v>59</v>
      </c>
      <c r="F295" s="1" t="s">
        <v>37</v>
      </c>
      <c r="G295" s="1" t="s">
        <v>38</v>
      </c>
      <c r="H295" s="1" t="s">
        <v>109</v>
      </c>
      <c r="I295" s="1" t="s">
        <v>50</v>
      </c>
      <c r="J295" s="1">
        <v>8</v>
      </c>
      <c r="K295" s="27">
        <v>80</v>
      </c>
      <c r="L295" s="27">
        <v>0.05</v>
      </c>
      <c r="M295" s="1" t="s">
        <v>93</v>
      </c>
      <c r="N295" s="1" t="s">
        <v>55</v>
      </c>
      <c r="O295" t="str">
        <f t="shared" si="16"/>
        <v>Jan</v>
      </c>
      <c r="P295" t="str">
        <f t="shared" si="17"/>
        <v>2026</v>
      </c>
      <c r="Q295" s="25">
        <f t="shared" si="18"/>
        <v>130</v>
      </c>
      <c r="R295" s="29">
        <f t="shared" si="19"/>
        <v>988</v>
      </c>
    </row>
    <row r="296" spans="1:18" x14ac:dyDescent="0.25">
      <c r="A296" s="5" t="s">
        <v>539</v>
      </c>
      <c r="B296" s="3" t="s">
        <v>265</v>
      </c>
      <c r="C296" s="1" t="s">
        <v>180</v>
      </c>
      <c r="D296" s="1" t="s">
        <v>19</v>
      </c>
      <c r="E296" s="1">
        <v>45</v>
      </c>
      <c r="F296" s="1" t="s">
        <v>43</v>
      </c>
      <c r="G296" s="1" t="s">
        <v>44</v>
      </c>
      <c r="H296" s="1" t="s">
        <v>49</v>
      </c>
      <c r="I296" s="1" t="s">
        <v>50</v>
      </c>
      <c r="J296" s="1">
        <v>1</v>
      </c>
      <c r="K296" s="27">
        <v>120</v>
      </c>
      <c r="L296" s="27">
        <v>0.1</v>
      </c>
      <c r="M296" s="1" t="s">
        <v>58</v>
      </c>
      <c r="N296" s="1" t="s">
        <v>51</v>
      </c>
      <c r="O296" t="str">
        <f t="shared" si="16"/>
        <v>Jan</v>
      </c>
      <c r="P296" t="str">
        <f t="shared" si="17"/>
        <v>2026</v>
      </c>
      <c r="Q296" s="25">
        <f t="shared" si="18"/>
        <v>170</v>
      </c>
      <c r="R296" s="29">
        <f t="shared" si="19"/>
        <v>153</v>
      </c>
    </row>
    <row r="297" spans="1:18" x14ac:dyDescent="0.25">
      <c r="A297" s="5" t="s">
        <v>540</v>
      </c>
      <c r="B297" s="3" t="s">
        <v>197</v>
      </c>
      <c r="C297" s="1" t="s">
        <v>102</v>
      </c>
      <c r="D297" s="1" t="s">
        <v>36</v>
      </c>
      <c r="E297" s="1">
        <v>48</v>
      </c>
      <c r="F297" s="1" t="s">
        <v>20</v>
      </c>
      <c r="G297" s="1" t="s">
        <v>21</v>
      </c>
      <c r="H297" s="1" t="s">
        <v>49</v>
      </c>
      <c r="I297" s="1" t="s">
        <v>50</v>
      </c>
      <c r="J297" s="1">
        <v>2</v>
      </c>
      <c r="K297" s="27">
        <v>120</v>
      </c>
      <c r="L297" s="27">
        <v>0</v>
      </c>
      <c r="M297" s="1" t="s">
        <v>24</v>
      </c>
      <c r="N297" s="1" t="s">
        <v>55</v>
      </c>
      <c r="O297" t="str">
        <f t="shared" si="16"/>
        <v>Mar</v>
      </c>
      <c r="P297" t="str">
        <f t="shared" si="17"/>
        <v>2026</v>
      </c>
      <c r="Q297" s="25">
        <f t="shared" si="18"/>
        <v>170</v>
      </c>
      <c r="R297" s="29">
        <f t="shared" si="19"/>
        <v>340</v>
      </c>
    </row>
    <row r="298" spans="1:18" x14ac:dyDescent="0.25">
      <c r="A298" s="5" t="s">
        <v>541</v>
      </c>
      <c r="B298" s="3" t="s">
        <v>542</v>
      </c>
      <c r="C298" s="1" t="s">
        <v>258</v>
      </c>
      <c r="D298" s="1" t="s">
        <v>19</v>
      </c>
      <c r="E298" s="1">
        <v>51</v>
      </c>
      <c r="F298" s="1" t="s">
        <v>43</v>
      </c>
      <c r="G298" s="1" t="s">
        <v>44</v>
      </c>
      <c r="H298" s="1" t="s">
        <v>79</v>
      </c>
      <c r="I298" s="1" t="s">
        <v>23</v>
      </c>
      <c r="J298" s="1">
        <v>5</v>
      </c>
      <c r="K298" s="27">
        <v>500</v>
      </c>
      <c r="L298" s="27">
        <v>0.15</v>
      </c>
      <c r="M298" s="1" t="s">
        <v>31</v>
      </c>
      <c r="N298" s="1" t="s">
        <v>55</v>
      </c>
      <c r="O298" t="str">
        <f t="shared" si="16"/>
        <v>May</v>
      </c>
      <c r="P298" t="str">
        <f t="shared" si="17"/>
        <v>2026</v>
      </c>
      <c r="Q298" s="25">
        <f t="shared" si="18"/>
        <v>550</v>
      </c>
      <c r="R298" s="29">
        <f t="shared" si="19"/>
        <v>2337.5</v>
      </c>
    </row>
    <row r="299" spans="1:18" x14ac:dyDescent="0.25">
      <c r="A299" s="5" t="s">
        <v>543</v>
      </c>
      <c r="B299" s="3" t="s">
        <v>302</v>
      </c>
      <c r="C299" s="1" t="s">
        <v>72</v>
      </c>
      <c r="D299" s="1" t="s">
        <v>19</v>
      </c>
      <c r="E299" s="1">
        <v>37</v>
      </c>
      <c r="F299" s="1" t="s">
        <v>37</v>
      </c>
      <c r="G299" s="1" t="s">
        <v>38</v>
      </c>
      <c r="H299" s="1" t="s">
        <v>73</v>
      </c>
      <c r="I299" s="1" t="s">
        <v>69</v>
      </c>
      <c r="J299" s="1">
        <v>3</v>
      </c>
      <c r="K299" s="27">
        <v>5</v>
      </c>
      <c r="L299" s="27">
        <v>0</v>
      </c>
      <c r="M299" s="1" t="s">
        <v>31</v>
      </c>
      <c r="N299" s="1" t="s">
        <v>51</v>
      </c>
      <c r="O299" t="str">
        <f t="shared" si="16"/>
        <v>Mar</v>
      </c>
      <c r="P299" t="str">
        <f t="shared" si="17"/>
        <v>2026</v>
      </c>
      <c r="Q299" s="25">
        <f t="shared" si="18"/>
        <v>55</v>
      </c>
      <c r="R299" s="29">
        <f t="shared" si="19"/>
        <v>165</v>
      </c>
    </row>
    <row r="300" spans="1:18" x14ac:dyDescent="0.25">
      <c r="A300" s="5" t="s">
        <v>544</v>
      </c>
      <c r="B300" s="3" t="s">
        <v>513</v>
      </c>
      <c r="C300" s="1" t="s">
        <v>28</v>
      </c>
      <c r="D300" s="1" t="s">
        <v>19</v>
      </c>
      <c r="E300" s="1">
        <v>58</v>
      </c>
      <c r="F300" s="1" t="s">
        <v>88</v>
      </c>
      <c r="G300" s="1" t="s">
        <v>89</v>
      </c>
      <c r="H300" s="1" t="s">
        <v>109</v>
      </c>
      <c r="I300" s="1" t="s">
        <v>50</v>
      </c>
      <c r="J300" s="1">
        <v>4</v>
      </c>
      <c r="K300" s="27">
        <v>80</v>
      </c>
      <c r="L300" s="27">
        <v>0.05</v>
      </c>
      <c r="M300" s="1" t="s">
        <v>31</v>
      </c>
      <c r="N300" s="1" t="s">
        <v>55</v>
      </c>
      <c r="O300" t="str">
        <f t="shared" si="16"/>
        <v>Jun</v>
      </c>
      <c r="P300" t="str">
        <f t="shared" si="17"/>
        <v>2026</v>
      </c>
      <c r="Q300" s="25">
        <f t="shared" si="18"/>
        <v>130</v>
      </c>
      <c r="R300" s="29">
        <f t="shared" si="19"/>
        <v>494</v>
      </c>
    </row>
    <row r="301" spans="1:18" x14ac:dyDescent="0.25">
      <c r="A301" s="5" t="s">
        <v>545</v>
      </c>
      <c r="B301" s="3" t="s">
        <v>135</v>
      </c>
      <c r="C301" s="1" t="s">
        <v>61</v>
      </c>
      <c r="D301" s="1" t="s">
        <v>36</v>
      </c>
      <c r="E301" s="1">
        <v>34</v>
      </c>
      <c r="F301" s="1" t="s">
        <v>37</v>
      </c>
      <c r="G301" s="1" t="s">
        <v>38</v>
      </c>
      <c r="H301" s="1" t="s">
        <v>118</v>
      </c>
      <c r="I301" s="1" t="s">
        <v>23</v>
      </c>
      <c r="J301" s="1">
        <v>1</v>
      </c>
      <c r="K301" s="27">
        <v>180</v>
      </c>
      <c r="L301" s="27">
        <v>0.05</v>
      </c>
      <c r="M301" s="1" t="s">
        <v>39</v>
      </c>
      <c r="N301" s="1" t="s">
        <v>25</v>
      </c>
      <c r="O301" t="str">
        <f t="shared" si="16"/>
        <v>May</v>
      </c>
      <c r="P301" t="str">
        <f t="shared" si="17"/>
        <v>2026</v>
      </c>
      <c r="Q301" s="25">
        <f t="shared" si="18"/>
        <v>230</v>
      </c>
      <c r="R301" s="29">
        <f t="shared" si="19"/>
        <v>218.5</v>
      </c>
    </row>
    <row r="302" spans="1:18" x14ac:dyDescent="0.25">
      <c r="A302" s="5" t="s">
        <v>546</v>
      </c>
      <c r="B302" s="3" t="s">
        <v>385</v>
      </c>
      <c r="C302" s="1" t="s">
        <v>54</v>
      </c>
      <c r="D302" s="1" t="s">
        <v>19</v>
      </c>
      <c r="E302" s="1">
        <v>32</v>
      </c>
      <c r="F302" s="1" t="s">
        <v>88</v>
      </c>
      <c r="G302" s="1" t="s">
        <v>89</v>
      </c>
      <c r="H302" s="1" t="s">
        <v>109</v>
      </c>
      <c r="I302" s="1" t="s">
        <v>50</v>
      </c>
      <c r="J302" s="1">
        <v>6</v>
      </c>
      <c r="K302" s="27">
        <v>80</v>
      </c>
      <c r="L302" s="27">
        <v>0.1</v>
      </c>
      <c r="M302" s="1" t="s">
        <v>58</v>
      </c>
      <c r="N302" s="1" t="s">
        <v>55</v>
      </c>
      <c r="O302" t="str">
        <f t="shared" si="16"/>
        <v>Feb</v>
      </c>
      <c r="P302" t="str">
        <f t="shared" si="17"/>
        <v>2026</v>
      </c>
      <c r="Q302" s="25">
        <f t="shared" si="18"/>
        <v>130</v>
      </c>
      <c r="R302" s="29">
        <f t="shared" si="19"/>
        <v>702</v>
      </c>
    </row>
    <row r="303" spans="1:18" x14ac:dyDescent="0.25">
      <c r="A303" s="5" t="s">
        <v>547</v>
      </c>
      <c r="B303" s="3" t="s">
        <v>328</v>
      </c>
      <c r="C303" s="1" t="s">
        <v>256</v>
      </c>
      <c r="D303" s="1" t="s">
        <v>36</v>
      </c>
      <c r="E303" s="1">
        <v>32</v>
      </c>
      <c r="F303" s="1" t="s">
        <v>29</v>
      </c>
      <c r="G303" s="1" t="s">
        <v>30</v>
      </c>
      <c r="H303" s="1" t="s">
        <v>79</v>
      </c>
      <c r="I303" s="1" t="s">
        <v>23</v>
      </c>
      <c r="J303" s="1">
        <v>7</v>
      </c>
      <c r="K303" s="27">
        <v>500</v>
      </c>
      <c r="L303" s="27">
        <v>0</v>
      </c>
      <c r="M303" s="1" t="s">
        <v>58</v>
      </c>
      <c r="N303" s="1" t="s">
        <v>32</v>
      </c>
      <c r="O303" t="str">
        <f t="shared" si="16"/>
        <v>May</v>
      </c>
      <c r="P303" t="str">
        <f t="shared" si="17"/>
        <v>2026</v>
      </c>
      <c r="Q303" s="25">
        <f t="shared" si="18"/>
        <v>550</v>
      </c>
      <c r="R303" s="29">
        <f t="shared" si="19"/>
        <v>3850</v>
      </c>
    </row>
    <row r="304" spans="1:18" x14ac:dyDescent="0.25">
      <c r="A304" s="5" t="s">
        <v>548</v>
      </c>
      <c r="B304" s="3" t="s">
        <v>177</v>
      </c>
      <c r="C304" s="1" t="s">
        <v>131</v>
      </c>
      <c r="D304" s="1" t="s">
        <v>19</v>
      </c>
      <c r="E304" s="1">
        <v>34</v>
      </c>
      <c r="F304" s="1" t="s">
        <v>29</v>
      </c>
      <c r="G304" s="1" t="s">
        <v>30</v>
      </c>
      <c r="H304" s="1" t="s">
        <v>22</v>
      </c>
      <c r="I304" s="1" t="s">
        <v>23</v>
      </c>
      <c r="J304" s="1">
        <v>3</v>
      </c>
      <c r="K304" s="27">
        <v>850</v>
      </c>
      <c r="L304" s="27">
        <v>0.1</v>
      </c>
      <c r="M304" s="1" t="s">
        <v>58</v>
      </c>
      <c r="N304" s="1" t="s">
        <v>32</v>
      </c>
      <c r="O304" t="str">
        <f t="shared" si="16"/>
        <v>Jun</v>
      </c>
      <c r="P304" t="str">
        <f t="shared" si="17"/>
        <v>2026</v>
      </c>
      <c r="Q304" s="25">
        <f t="shared" si="18"/>
        <v>900</v>
      </c>
      <c r="R304" s="29">
        <f t="shared" si="19"/>
        <v>2430</v>
      </c>
    </row>
    <row r="305" spans="1:18" x14ac:dyDescent="0.25">
      <c r="A305" s="5" t="s">
        <v>549</v>
      </c>
      <c r="B305" s="3" t="s">
        <v>286</v>
      </c>
      <c r="C305" s="1" t="s">
        <v>65</v>
      </c>
      <c r="D305" s="1" t="s">
        <v>36</v>
      </c>
      <c r="E305" s="1">
        <v>40</v>
      </c>
      <c r="F305" s="1" t="s">
        <v>20</v>
      </c>
      <c r="G305" s="1" t="s">
        <v>21</v>
      </c>
      <c r="H305" s="1" t="s">
        <v>68</v>
      </c>
      <c r="I305" s="1" t="s">
        <v>69</v>
      </c>
      <c r="J305" s="1">
        <v>7</v>
      </c>
      <c r="K305" s="27">
        <v>2</v>
      </c>
      <c r="L305" s="27">
        <v>0.1</v>
      </c>
      <c r="M305" s="1" t="s">
        <v>45</v>
      </c>
      <c r="N305" s="1" t="s">
        <v>32</v>
      </c>
      <c r="O305" t="str">
        <f t="shared" si="16"/>
        <v>May</v>
      </c>
      <c r="P305" t="str">
        <f t="shared" si="17"/>
        <v>2026</v>
      </c>
      <c r="Q305" s="25">
        <f t="shared" si="18"/>
        <v>52</v>
      </c>
      <c r="R305" s="29">
        <f t="shared" si="19"/>
        <v>327.60000000000002</v>
      </c>
    </row>
    <row r="306" spans="1:18" x14ac:dyDescent="0.25">
      <c r="A306" s="5" t="s">
        <v>550</v>
      </c>
      <c r="B306" s="3" t="s">
        <v>214</v>
      </c>
      <c r="C306" s="1" t="s">
        <v>96</v>
      </c>
      <c r="D306" s="1" t="s">
        <v>19</v>
      </c>
      <c r="E306" s="1">
        <v>19</v>
      </c>
      <c r="F306" s="1" t="s">
        <v>29</v>
      </c>
      <c r="G306" s="1" t="s">
        <v>30</v>
      </c>
      <c r="H306" s="1" t="s">
        <v>73</v>
      </c>
      <c r="I306" s="1" t="s">
        <v>69</v>
      </c>
      <c r="J306" s="1">
        <v>2</v>
      </c>
      <c r="K306" s="27">
        <v>5</v>
      </c>
      <c r="L306" s="27">
        <v>0.05</v>
      </c>
      <c r="M306" s="1" t="s">
        <v>45</v>
      </c>
      <c r="N306" s="1" t="s">
        <v>55</v>
      </c>
      <c r="O306" t="str">
        <f t="shared" si="16"/>
        <v>May</v>
      </c>
      <c r="P306" t="str">
        <f t="shared" si="17"/>
        <v>2026</v>
      </c>
      <c r="Q306" s="25">
        <f t="shared" si="18"/>
        <v>55</v>
      </c>
      <c r="R306" s="29">
        <f t="shared" si="19"/>
        <v>104.5</v>
      </c>
    </row>
    <row r="307" spans="1:18" x14ac:dyDescent="0.25">
      <c r="A307" s="5" t="s">
        <v>551</v>
      </c>
      <c r="B307" s="3" t="s">
        <v>481</v>
      </c>
      <c r="C307" s="1" t="s">
        <v>266</v>
      </c>
      <c r="D307" s="1" t="s">
        <v>36</v>
      </c>
      <c r="E307" s="1">
        <v>31</v>
      </c>
      <c r="F307" s="1" t="s">
        <v>43</v>
      </c>
      <c r="G307" s="1" t="s">
        <v>44</v>
      </c>
      <c r="H307" s="1" t="s">
        <v>22</v>
      </c>
      <c r="I307" s="1" t="s">
        <v>23</v>
      </c>
      <c r="J307" s="1">
        <v>7</v>
      </c>
      <c r="K307" s="27">
        <v>850</v>
      </c>
      <c r="L307" s="27">
        <v>0.15</v>
      </c>
      <c r="M307" s="1" t="s">
        <v>39</v>
      </c>
      <c r="N307" s="1" t="s">
        <v>25</v>
      </c>
      <c r="O307" t="str">
        <f t="shared" si="16"/>
        <v>Mar</v>
      </c>
      <c r="P307" t="str">
        <f t="shared" si="17"/>
        <v>2026</v>
      </c>
      <c r="Q307" s="25">
        <f t="shared" si="18"/>
        <v>900</v>
      </c>
      <c r="R307" s="29">
        <f t="shared" si="19"/>
        <v>5355</v>
      </c>
    </row>
    <row r="308" spans="1:18" x14ac:dyDescent="0.25">
      <c r="A308" s="5" t="s">
        <v>552</v>
      </c>
      <c r="B308" s="3" t="s">
        <v>157</v>
      </c>
      <c r="C308" s="1" t="s">
        <v>145</v>
      </c>
      <c r="D308" s="1" t="s">
        <v>36</v>
      </c>
      <c r="E308" s="1">
        <v>48</v>
      </c>
      <c r="F308" s="1" t="s">
        <v>29</v>
      </c>
      <c r="G308" s="1" t="s">
        <v>30</v>
      </c>
      <c r="H308" s="1" t="s">
        <v>118</v>
      </c>
      <c r="I308" s="1" t="s">
        <v>23</v>
      </c>
      <c r="J308" s="1">
        <v>6</v>
      </c>
      <c r="K308" s="27">
        <v>180</v>
      </c>
      <c r="L308" s="27">
        <v>0</v>
      </c>
      <c r="M308" s="1" t="s">
        <v>24</v>
      </c>
      <c r="N308" s="1" t="s">
        <v>25</v>
      </c>
      <c r="O308" t="str">
        <f t="shared" si="16"/>
        <v>Feb</v>
      </c>
      <c r="P308" t="str">
        <f t="shared" si="17"/>
        <v>2026</v>
      </c>
      <c r="Q308" s="25">
        <f t="shared" si="18"/>
        <v>230</v>
      </c>
      <c r="R308" s="29">
        <f t="shared" si="19"/>
        <v>1380</v>
      </c>
    </row>
    <row r="309" spans="1:18" x14ac:dyDescent="0.25">
      <c r="A309" s="5" t="s">
        <v>553</v>
      </c>
      <c r="B309" s="3" t="s">
        <v>451</v>
      </c>
      <c r="C309" s="1" t="s">
        <v>102</v>
      </c>
      <c r="D309" s="1" t="s">
        <v>36</v>
      </c>
      <c r="E309" s="1">
        <v>33</v>
      </c>
      <c r="F309" s="1" t="s">
        <v>43</v>
      </c>
      <c r="G309" s="1" t="s">
        <v>44</v>
      </c>
      <c r="H309" s="1" t="s">
        <v>109</v>
      </c>
      <c r="I309" s="1" t="s">
        <v>50</v>
      </c>
      <c r="J309" s="1">
        <v>9</v>
      </c>
      <c r="K309" s="27">
        <v>80</v>
      </c>
      <c r="L309" s="27">
        <v>0.05</v>
      </c>
      <c r="M309" s="1" t="s">
        <v>58</v>
      </c>
      <c r="N309" s="1" t="s">
        <v>25</v>
      </c>
      <c r="O309" t="str">
        <f t="shared" si="16"/>
        <v>Jun</v>
      </c>
      <c r="P309" t="str">
        <f t="shared" si="17"/>
        <v>2026</v>
      </c>
      <c r="Q309" s="25">
        <f t="shared" si="18"/>
        <v>130</v>
      </c>
      <c r="R309" s="29">
        <f t="shared" si="19"/>
        <v>1111.5</v>
      </c>
    </row>
    <row r="310" spans="1:18" x14ac:dyDescent="0.25">
      <c r="A310" s="5" t="s">
        <v>554</v>
      </c>
      <c r="B310" s="3" t="s">
        <v>201</v>
      </c>
      <c r="C310" s="1" t="s">
        <v>165</v>
      </c>
      <c r="D310" s="1" t="s">
        <v>36</v>
      </c>
      <c r="E310" s="1">
        <v>36</v>
      </c>
      <c r="F310" s="1" t="s">
        <v>43</v>
      </c>
      <c r="G310" s="1" t="s">
        <v>44</v>
      </c>
      <c r="H310" s="1" t="s">
        <v>22</v>
      </c>
      <c r="I310" s="1" t="s">
        <v>23</v>
      </c>
      <c r="J310" s="1">
        <v>5</v>
      </c>
      <c r="K310" s="27">
        <v>850</v>
      </c>
      <c r="L310" s="27">
        <v>0</v>
      </c>
      <c r="M310" s="1" t="s">
        <v>45</v>
      </c>
      <c r="N310" s="1" t="s">
        <v>51</v>
      </c>
      <c r="O310" t="str">
        <f t="shared" si="16"/>
        <v>May</v>
      </c>
      <c r="P310" t="str">
        <f t="shared" si="17"/>
        <v>2026</v>
      </c>
      <c r="Q310" s="25">
        <f t="shared" si="18"/>
        <v>900</v>
      </c>
      <c r="R310" s="29">
        <f t="shared" si="19"/>
        <v>4500</v>
      </c>
    </row>
    <row r="311" spans="1:18" x14ac:dyDescent="0.25">
      <c r="A311" s="5" t="s">
        <v>555</v>
      </c>
      <c r="B311" s="3" t="s">
        <v>312</v>
      </c>
      <c r="C311" s="1" t="s">
        <v>205</v>
      </c>
      <c r="D311" s="1" t="s">
        <v>36</v>
      </c>
      <c r="E311" s="1">
        <v>18</v>
      </c>
      <c r="F311" s="1" t="s">
        <v>43</v>
      </c>
      <c r="G311" s="1" t="s">
        <v>44</v>
      </c>
      <c r="H311" s="1" t="s">
        <v>68</v>
      </c>
      <c r="I311" s="1" t="s">
        <v>69</v>
      </c>
      <c r="J311" s="1">
        <v>2</v>
      </c>
      <c r="K311" s="27">
        <v>2</v>
      </c>
      <c r="L311" s="27">
        <v>0.05</v>
      </c>
      <c r="M311" s="1" t="s">
        <v>31</v>
      </c>
      <c r="N311" s="1" t="s">
        <v>25</v>
      </c>
      <c r="O311" t="str">
        <f t="shared" si="16"/>
        <v>Jan</v>
      </c>
      <c r="P311" t="str">
        <f t="shared" si="17"/>
        <v>2026</v>
      </c>
      <c r="Q311" s="25">
        <f t="shared" si="18"/>
        <v>52</v>
      </c>
      <c r="R311" s="29">
        <f t="shared" si="19"/>
        <v>98.8</v>
      </c>
    </row>
    <row r="312" spans="1:18" x14ac:dyDescent="0.25">
      <c r="A312" s="5" t="s">
        <v>556</v>
      </c>
      <c r="B312" s="3" t="s">
        <v>557</v>
      </c>
      <c r="C312" s="1" t="s">
        <v>256</v>
      </c>
      <c r="D312" s="1" t="s">
        <v>36</v>
      </c>
      <c r="E312" s="1">
        <v>23</v>
      </c>
      <c r="F312" s="1" t="s">
        <v>43</v>
      </c>
      <c r="G312" s="1" t="s">
        <v>44</v>
      </c>
      <c r="H312" s="1" t="s">
        <v>68</v>
      </c>
      <c r="I312" s="1" t="s">
        <v>69</v>
      </c>
      <c r="J312" s="1">
        <v>5</v>
      </c>
      <c r="K312" s="27">
        <v>2</v>
      </c>
      <c r="L312" s="27">
        <v>0</v>
      </c>
      <c r="M312" s="1" t="s">
        <v>39</v>
      </c>
      <c r="N312" s="1" t="s">
        <v>51</v>
      </c>
      <c r="O312" t="str">
        <f t="shared" si="16"/>
        <v>Apr</v>
      </c>
      <c r="P312" t="str">
        <f t="shared" si="17"/>
        <v>2026</v>
      </c>
      <c r="Q312" s="25">
        <f t="shared" si="18"/>
        <v>52</v>
      </c>
      <c r="R312" s="29">
        <f t="shared" si="19"/>
        <v>260</v>
      </c>
    </row>
    <row r="313" spans="1:18" x14ac:dyDescent="0.25">
      <c r="A313" s="5" t="s">
        <v>558</v>
      </c>
      <c r="B313" s="3" t="s">
        <v>559</v>
      </c>
      <c r="C313" s="1" t="s">
        <v>266</v>
      </c>
      <c r="D313" s="1" t="s">
        <v>19</v>
      </c>
      <c r="E313" s="1">
        <v>20</v>
      </c>
      <c r="F313" s="1" t="s">
        <v>37</v>
      </c>
      <c r="G313" s="1" t="s">
        <v>38</v>
      </c>
      <c r="H313" s="1" t="s">
        <v>73</v>
      </c>
      <c r="I313" s="1" t="s">
        <v>69</v>
      </c>
      <c r="J313" s="1">
        <v>3</v>
      </c>
      <c r="K313" s="27">
        <v>5</v>
      </c>
      <c r="L313" s="27">
        <v>0.15</v>
      </c>
      <c r="M313" s="1" t="s">
        <v>93</v>
      </c>
      <c r="N313" s="1" t="s">
        <v>25</v>
      </c>
      <c r="O313" t="str">
        <f t="shared" si="16"/>
        <v>Jun</v>
      </c>
      <c r="P313" t="str">
        <f t="shared" si="17"/>
        <v>2026</v>
      </c>
      <c r="Q313" s="25">
        <f t="shared" si="18"/>
        <v>55</v>
      </c>
      <c r="R313" s="29">
        <f t="shared" si="19"/>
        <v>140.25</v>
      </c>
    </row>
    <row r="314" spans="1:18" x14ac:dyDescent="0.25">
      <c r="A314" s="5" t="s">
        <v>560</v>
      </c>
      <c r="B314" s="3" t="s">
        <v>282</v>
      </c>
      <c r="C314" s="1" t="s">
        <v>65</v>
      </c>
      <c r="D314" s="1" t="s">
        <v>19</v>
      </c>
      <c r="E314" s="1">
        <v>43</v>
      </c>
      <c r="F314" s="1" t="s">
        <v>43</v>
      </c>
      <c r="G314" s="1" t="s">
        <v>44</v>
      </c>
      <c r="H314" s="1" t="s">
        <v>62</v>
      </c>
      <c r="I314" s="1" t="s">
        <v>23</v>
      </c>
      <c r="J314" s="1">
        <v>6</v>
      </c>
      <c r="K314" s="27">
        <v>15</v>
      </c>
      <c r="L314" s="27">
        <v>0.1</v>
      </c>
      <c r="M314" s="1" t="s">
        <v>39</v>
      </c>
      <c r="N314" s="1" t="s">
        <v>25</v>
      </c>
      <c r="O314" t="str">
        <f t="shared" si="16"/>
        <v>Mar</v>
      </c>
      <c r="P314" t="str">
        <f t="shared" si="17"/>
        <v>2026</v>
      </c>
      <c r="Q314" s="25">
        <f t="shared" si="18"/>
        <v>65</v>
      </c>
      <c r="R314" s="29">
        <f t="shared" si="19"/>
        <v>351</v>
      </c>
    </row>
    <row r="315" spans="1:18" x14ac:dyDescent="0.25">
      <c r="A315" s="5" t="s">
        <v>561</v>
      </c>
      <c r="B315" s="3" t="s">
        <v>219</v>
      </c>
      <c r="C315" s="1" t="s">
        <v>126</v>
      </c>
      <c r="D315" s="1" t="s">
        <v>36</v>
      </c>
      <c r="E315" s="1">
        <v>46</v>
      </c>
      <c r="F315" s="1" t="s">
        <v>20</v>
      </c>
      <c r="G315" s="1" t="s">
        <v>21</v>
      </c>
      <c r="H315" s="1" t="s">
        <v>22</v>
      </c>
      <c r="I315" s="1" t="s">
        <v>23</v>
      </c>
      <c r="J315" s="1">
        <v>5</v>
      </c>
      <c r="K315" s="27">
        <v>850</v>
      </c>
      <c r="L315" s="27">
        <v>0.15</v>
      </c>
      <c r="M315" s="1" t="s">
        <v>45</v>
      </c>
      <c r="N315" s="1" t="s">
        <v>55</v>
      </c>
      <c r="O315" t="str">
        <f t="shared" si="16"/>
        <v>Jan</v>
      </c>
      <c r="P315" t="str">
        <f t="shared" si="17"/>
        <v>2026</v>
      </c>
      <c r="Q315" s="25">
        <f t="shared" si="18"/>
        <v>900</v>
      </c>
      <c r="R315" s="29">
        <f t="shared" si="19"/>
        <v>3825</v>
      </c>
    </row>
    <row r="316" spans="1:18" x14ac:dyDescent="0.25">
      <c r="A316" s="5" t="s">
        <v>562</v>
      </c>
      <c r="B316" s="3" t="s">
        <v>174</v>
      </c>
      <c r="C316" s="1" t="s">
        <v>251</v>
      </c>
      <c r="D316" s="1" t="s">
        <v>36</v>
      </c>
      <c r="E316" s="1">
        <v>50</v>
      </c>
      <c r="F316" s="1" t="s">
        <v>20</v>
      </c>
      <c r="G316" s="1" t="s">
        <v>21</v>
      </c>
      <c r="H316" s="1" t="s">
        <v>73</v>
      </c>
      <c r="I316" s="1" t="s">
        <v>69</v>
      </c>
      <c r="J316" s="1">
        <v>1</v>
      </c>
      <c r="K316" s="27">
        <v>5</v>
      </c>
      <c r="L316" s="27">
        <v>0.15</v>
      </c>
      <c r="M316" s="1" t="s">
        <v>45</v>
      </c>
      <c r="N316" s="1" t="s">
        <v>51</v>
      </c>
      <c r="O316" t="str">
        <f t="shared" si="16"/>
        <v>May</v>
      </c>
      <c r="P316" t="str">
        <f t="shared" si="17"/>
        <v>2026</v>
      </c>
      <c r="Q316" s="25">
        <f t="shared" si="18"/>
        <v>55</v>
      </c>
      <c r="R316" s="29">
        <f t="shared" si="19"/>
        <v>46.75</v>
      </c>
    </row>
    <row r="317" spans="1:18" x14ac:dyDescent="0.25">
      <c r="A317" s="5" t="s">
        <v>563</v>
      </c>
      <c r="B317" s="3" t="s">
        <v>142</v>
      </c>
      <c r="C317" s="1" t="s">
        <v>105</v>
      </c>
      <c r="D317" s="1" t="s">
        <v>19</v>
      </c>
      <c r="E317" s="1">
        <v>59</v>
      </c>
      <c r="F317" s="1" t="s">
        <v>37</v>
      </c>
      <c r="G317" s="1" t="s">
        <v>38</v>
      </c>
      <c r="H317" s="1" t="s">
        <v>79</v>
      </c>
      <c r="I317" s="1" t="s">
        <v>23</v>
      </c>
      <c r="J317" s="1">
        <v>5</v>
      </c>
      <c r="K317" s="27">
        <v>500</v>
      </c>
      <c r="L317" s="27">
        <v>0.15</v>
      </c>
      <c r="M317" s="1" t="s">
        <v>45</v>
      </c>
      <c r="N317" s="1" t="s">
        <v>55</v>
      </c>
      <c r="O317" t="str">
        <f t="shared" si="16"/>
        <v>May</v>
      </c>
      <c r="P317" t="str">
        <f t="shared" si="17"/>
        <v>2026</v>
      </c>
      <c r="Q317" s="25">
        <f t="shared" si="18"/>
        <v>550</v>
      </c>
      <c r="R317" s="29">
        <f t="shared" si="19"/>
        <v>2337.5</v>
      </c>
    </row>
    <row r="318" spans="1:18" x14ac:dyDescent="0.25">
      <c r="A318" s="5" t="s">
        <v>564</v>
      </c>
      <c r="B318" s="3" t="s">
        <v>167</v>
      </c>
      <c r="C318" s="1" t="s">
        <v>114</v>
      </c>
      <c r="D318" s="1" t="s">
        <v>19</v>
      </c>
      <c r="E318" s="1">
        <v>43</v>
      </c>
      <c r="F318" s="1" t="s">
        <v>37</v>
      </c>
      <c r="G318" s="1" t="s">
        <v>38</v>
      </c>
      <c r="H318" s="1" t="s">
        <v>79</v>
      </c>
      <c r="I318" s="1" t="s">
        <v>23</v>
      </c>
      <c r="J318" s="1">
        <v>7</v>
      </c>
      <c r="K318" s="27">
        <v>500</v>
      </c>
      <c r="L318" s="27">
        <v>0.05</v>
      </c>
      <c r="M318" s="1" t="s">
        <v>24</v>
      </c>
      <c r="N318" s="1" t="s">
        <v>51</v>
      </c>
      <c r="O318" t="str">
        <f t="shared" si="16"/>
        <v>Feb</v>
      </c>
      <c r="P318" t="str">
        <f t="shared" si="17"/>
        <v>2026</v>
      </c>
      <c r="Q318" s="25">
        <f t="shared" si="18"/>
        <v>550</v>
      </c>
      <c r="R318" s="29">
        <f t="shared" si="19"/>
        <v>3657.5</v>
      </c>
    </row>
    <row r="319" spans="1:18" x14ac:dyDescent="0.25">
      <c r="A319" s="5" t="s">
        <v>565</v>
      </c>
      <c r="B319" s="3" t="s">
        <v>566</v>
      </c>
      <c r="C319" s="1" t="s">
        <v>117</v>
      </c>
      <c r="D319" s="1" t="s">
        <v>36</v>
      </c>
      <c r="E319" s="1">
        <v>46</v>
      </c>
      <c r="F319" s="1" t="s">
        <v>88</v>
      </c>
      <c r="G319" s="1" t="s">
        <v>89</v>
      </c>
      <c r="H319" s="1" t="s">
        <v>22</v>
      </c>
      <c r="I319" s="1" t="s">
        <v>23</v>
      </c>
      <c r="J319" s="1">
        <v>3</v>
      </c>
      <c r="K319" s="27">
        <v>850</v>
      </c>
      <c r="L319" s="27">
        <v>0.05</v>
      </c>
      <c r="M319" s="1" t="s">
        <v>39</v>
      </c>
      <c r="N319" s="1" t="s">
        <v>25</v>
      </c>
      <c r="O319" t="str">
        <f t="shared" si="16"/>
        <v>Feb</v>
      </c>
      <c r="P319" t="str">
        <f t="shared" si="17"/>
        <v>2026</v>
      </c>
      <c r="Q319" s="25">
        <f t="shared" si="18"/>
        <v>900</v>
      </c>
      <c r="R319" s="29">
        <f t="shared" si="19"/>
        <v>2565</v>
      </c>
    </row>
    <row r="320" spans="1:18" x14ac:dyDescent="0.25">
      <c r="A320" s="5" t="s">
        <v>567</v>
      </c>
      <c r="B320" s="3" t="s">
        <v>17</v>
      </c>
      <c r="C320" s="1" t="s">
        <v>61</v>
      </c>
      <c r="D320" s="1" t="s">
        <v>36</v>
      </c>
      <c r="E320" s="1">
        <v>34</v>
      </c>
      <c r="F320" s="1" t="s">
        <v>88</v>
      </c>
      <c r="G320" s="1" t="s">
        <v>89</v>
      </c>
      <c r="H320" s="1" t="s">
        <v>79</v>
      </c>
      <c r="I320" s="1" t="s">
        <v>23</v>
      </c>
      <c r="J320" s="1">
        <v>10</v>
      </c>
      <c r="K320" s="27">
        <v>500</v>
      </c>
      <c r="L320" s="27">
        <v>0.15</v>
      </c>
      <c r="M320" s="1" t="s">
        <v>39</v>
      </c>
      <c r="N320" s="1" t="s">
        <v>25</v>
      </c>
      <c r="O320" t="str">
        <f t="shared" si="16"/>
        <v>Feb</v>
      </c>
      <c r="P320" t="str">
        <f t="shared" si="17"/>
        <v>2026</v>
      </c>
      <c r="Q320" s="25">
        <f t="shared" si="18"/>
        <v>550</v>
      </c>
      <c r="R320" s="29">
        <f t="shared" si="19"/>
        <v>4675</v>
      </c>
    </row>
    <row r="321" spans="1:18" x14ac:dyDescent="0.25">
      <c r="A321" s="5" t="s">
        <v>568</v>
      </c>
      <c r="B321" s="3" t="s">
        <v>53</v>
      </c>
      <c r="C321" s="1" t="s">
        <v>289</v>
      </c>
      <c r="D321" s="1" t="s">
        <v>36</v>
      </c>
      <c r="E321" s="1">
        <v>33</v>
      </c>
      <c r="F321" s="1" t="s">
        <v>29</v>
      </c>
      <c r="G321" s="1" t="s">
        <v>30</v>
      </c>
      <c r="H321" s="1" t="s">
        <v>49</v>
      </c>
      <c r="I321" s="1" t="s">
        <v>50</v>
      </c>
      <c r="J321" s="1">
        <v>5</v>
      </c>
      <c r="K321" s="27">
        <v>120</v>
      </c>
      <c r="L321" s="27">
        <v>0.15</v>
      </c>
      <c r="M321" s="1" t="s">
        <v>31</v>
      </c>
      <c r="N321" s="1" t="s">
        <v>51</v>
      </c>
      <c r="O321" t="str">
        <f t="shared" si="16"/>
        <v>Apr</v>
      </c>
      <c r="P321" t="str">
        <f t="shared" si="17"/>
        <v>2026</v>
      </c>
      <c r="Q321" s="25">
        <f t="shared" si="18"/>
        <v>170</v>
      </c>
      <c r="R321" s="29">
        <f t="shared" si="19"/>
        <v>722.5</v>
      </c>
    </row>
    <row r="322" spans="1:18" x14ac:dyDescent="0.25">
      <c r="A322" s="5" t="s">
        <v>569</v>
      </c>
      <c r="B322" s="3" t="s">
        <v>570</v>
      </c>
      <c r="C322" s="1" t="s">
        <v>243</v>
      </c>
      <c r="D322" s="1" t="s">
        <v>36</v>
      </c>
      <c r="E322" s="1">
        <v>23</v>
      </c>
      <c r="F322" s="1" t="s">
        <v>29</v>
      </c>
      <c r="G322" s="1" t="s">
        <v>30</v>
      </c>
      <c r="H322" s="1" t="s">
        <v>22</v>
      </c>
      <c r="I322" s="1" t="s">
        <v>23</v>
      </c>
      <c r="J322" s="1">
        <v>10</v>
      </c>
      <c r="K322" s="27">
        <v>850</v>
      </c>
      <c r="L322" s="27">
        <v>0.05</v>
      </c>
      <c r="M322" s="1" t="s">
        <v>39</v>
      </c>
      <c r="N322" s="1" t="s">
        <v>55</v>
      </c>
      <c r="O322" t="str">
        <f t="shared" ref="O322:O385" si="20">TEXT(B:B,"MMM")</f>
        <v>Apr</v>
      </c>
      <c r="P322" t="str">
        <f t="shared" ref="P322:P385" si="21">TEXT(B:B,"YYYY")</f>
        <v>2026</v>
      </c>
      <c r="Q322" s="25">
        <f t="shared" ref="Q322:Q385" si="22">K:K+50</f>
        <v>900</v>
      </c>
      <c r="R322" s="29">
        <f t="shared" si="19"/>
        <v>8550</v>
      </c>
    </row>
    <row r="323" spans="1:18" x14ac:dyDescent="0.25">
      <c r="A323" s="5" t="s">
        <v>571</v>
      </c>
      <c r="B323" s="3" t="s">
        <v>572</v>
      </c>
      <c r="C323" s="1" t="s">
        <v>158</v>
      </c>
      <c r="D323" s="1" t="s">
        <v>36</v>
      </c>
      <c r="E323" s="1">
        <v>20</v>
      </c>
      <c r="F323" s="1" t="s">
        <v>20</v>
      </c>
      <c r="G323" s="1" t="s">
        <v>21</v>
      </c>
      <c r="H323" s="1" t="s">
        <v>68</v>
      </c>
      <c r="I323" s="1" t="s">
        <v>69</v>
      </c>
      <c r="J323" s="1">
        <v>8</v>
      </c>
      <c r="K323" s="27">
        <v>2</v>
      </c>
      <c r="L323" s="27">
        <v>0.05</v>
      </c>
      <c r="M323" s="1" t="s">
        <v>39</v>
      </c>
      <c r="N323" s="1" t="s">
        <v>55</v>
      </c>
      <c r="O323" t="str">
        <f t="shared" si="20"/>
        <v>Jan</v>
      </c>
      <c r="P323" t="str">
        <f t="shared" si="21"/>
        <v>2026</v>
      </c>
      <c r="Q323" s="25">
        <f t="shared" si="22"/>
        <v>52</v>
      </c>
      <c r="R323" s="29">
        <f t="shared" ref="R323:R386" si="23">J:J*Q:Q*(1-L:L)</f>
        <v>395.2</v>
      </c>
    </row>
    <row r="324" spans="1:18" x14ac:dyDescent="0.25">
      <c r="A324" s="5" t="s">
        <v>573</v>
      </c>
      <c r="B324" s="3" t="s">
        <v>312</v>
      </c>
      <c r="C324" s="1" t="s">
        <v>131</v>
      </c>
      <c r="D324" s="1" t="s">
        <v>19</v>
      </c>
      <c r="E324" s="1">
        <v>58</v>
      </c>
      <c r="F324" s="1" t="s">
        <v>37</v>
      </c>
      <c r="G324" s="1" t="s">
        <v>38</v>
      </c>
      <c r="H324" s="1" t="s">
        <v>73</v>
      </c>
      <c r="I324" s="1" t="s">
        <v>69</v>
      </c>
      <c r="J324" s="1">
        <v>9</v>
      </c>
      <c r="K324" s="27">
        <v>5</v>
      </c>
      <c r="L324" s="27">
        <v>0.1</v>
      </c>
      <c r="M324" s="1" t="s">
        <v>31</v>
      </c>
      <c r="N324" s="1" t="s">
        <v>55</v>
      </c>
      <c r="O324" t="str">
        <f t="shared" si="20"/>
        <v>Jan</v>
      </c>
      <c r="P324" t="str">
        <f t="shared" si="21"/>
        <v>2026</v>
      </c>
      <c r="Q324" s="25">
        <f t="shared" si="22"/>
        <v>55</v>
      </c>
      <c r="R324" s="29">
        <f t="shared" si="23"/>
        <v>445.5</v>
      </c>
    </row>
    <row r="325" spans="1:18" x14ac:dyDescent="0.25">
      <c r="A325" s="5" t="s">
        <v>574</v>
      </c>
      <c r="B325" s="3" t="s">
        <v>84</v>
      </c>
      <c r="C325" s="1" t="s">
        <v>82</v>
      </c>
      <c r="D325" s="1" t="s">
        <v>36</v>
      </c>
      <c r="E325" s="1">
        <v>42</v>
      </c>
      <c r="F325" s="1" t="s">
        <v>88</v>
      </c>
      <c r="G325" s="1" t="s">
        <v>89</v>
      </c>
      <c r="H325" s="1" t="s">
        <v>22</v>
      </c>
      <c r="I325" s="1" t="s">
        <v>23</v>
      </c>
      <c r="J325" s="1">
        <v>9</v>
      </c>
      <c r="K325" s="27">
        <v>850</v>
      </c>
      <c r="L325" s="27">
        <v>0.05</v>
      </c>
      <c r="M325" s="1" t="s">
        <v>58</v>
      </c>
      <c r="N325" s="1" t="s">
        <v>51</v>
      </c>
      <c r="O325" t="str">
        <f t="shared" si="20"/>
        <v>Mar</v>
      </c>
      <c r="P325" t="str">
        <f t="shared" si="21"/>
        <v>2026</v>
      </c>
      <c r="Q325" s="25">
        <f t="shared" si="22"/>
        <v>900</v>
      </c>
      <c r="R325" s="29">
        <f t="shared" si="23"/>
        <v>7695</v>
      </c>
    </row>
    <row r="326" spans="1:18" x14ac:dyDescent="0.25">
      <c r="A326" s="5" t="s">
        <v>575</v>
      </c>
      <c r="B326" s="3" t="s">
        <v>265</v>
      </c>
      <c r="C326" s="1" t="s">
        <v>240</v>
      </c>
      <c r="D326" s="1" t="s">
        <v>19</v>
      </c>
      <c r="E326" s="1">
        <v>52</v>
      </c>
      <c r="F326" s="1" t="s">
        <v>88</v>
      </c>
      <c r="G326" s="1" t="s">
        <v>89</v>
      </c>
      <c r="H326" s="1" t="s">
        <v>68</v>
      </c>
      <c r="I326" s="1" t="s">
        <v>69</v>
      </c>
      <c r="J326" s="1">
        <v>6</v>
      </c>
      <c r="K326" s="27">
        <v>2</v>
      </c>
      <c r="L326" s="27">
        <v>0.1</v>
      </c>
      <c r="M326" s="1" t="s">
        <v>58</v>
      </c>
      <c r="N326" s="1" t="s">
        <v>25</v>
      </c>
      <c r="O326" t="str">
        <f t="shared" si="20"/>
        <v>Jan</v>
      </c>
      <c r="P326" t="str">
        <f t="shared" si="21"/>
        <v>2026</v>
      </c>
      <c r="Q326" s="25">
        <f t="shared" si="22"/>
        <v>52</v>
      </c>
      <c r="R326" s="29">
        <f t="shared" si="23"/>
        <v>280.8</v>
      </c>
    </row>
    <row r="327" spans="1:18" x14ac:dyDescent="0.25">
      <c r="A327" s="5" t="s">
        <v>576</v>
      </c>
      <c r="B327" s="3" t="s">
        <v>279</v>
      </c>
      <c r="C327" s="1" t="s">
        <v>61</v>
      </c>
      <c r="D327" s="1" t="s">
        <v>36</v>
      </c>
      <c r="E327" s="1">
        <v>33</v>
      </c>
      <c r="F327" s="1" t="s">
        <v>20</v>
      </c>
      <c r="G327" s="1" t="s">
        <v>21</v>
      </c>
      <c r="H327" s="1" t="s">
        <v>62</v>
      </c>
      <c r="I327" s="1" t="s">
        <v>23</v>
      </c>
      <c r="J327" s="1">
        <v>4</v>
      </c>
      <c r="K327" s="27">
        <v>15</v>
      </c>
      <c r="L327" s="27">
        <v>0</v>
      </c>
      <c r="M327" s="1" t="s">
        <v>24</v>
      </c>
      <c r="N327" s="1" t="s">
        <v>55</v>
      </c>
      <c r="O327" t="str">
        <f t="shared" si="20"/>
        <v>Apr</v>
      </c>
      <c r="P327" t="str">
        <f t="shared" si="21"/>
        <v>2026</v>
      </c>
      <c r="Q327" s="25">
        <f t="shared" si="22"/>
        <v>65</v>
      </c>
      <c r="R327" s="29">
        <f t="shared" si="23"/>
        <v>260</v>
      </c>
    </row>
    <row r="328" spans="1:18" x14ac:dyDescent="0.25">
      <c r="A328" s="5" t="s">
        <v>577</v>
      </c>
      <c r="B328" s="3" t="s">
        <v>481</v>
      </c>
      <c r="C328" s="1" t="s">
        <v>48</v>
      </c>
      <c r="D328" s="1" t="s">
        <v>19</v>
      </c>
      <c r="E328" s="1">
        <v>52</v>
      </c>
      <c r="F328" s="1" t="s">
        <v>37</v>
      </c>
      <c r="G328" s="1" t="s">
        <v>38</v>
      </c>
      <c r="H328" s="1" t="s">
        <v>109</v>
      </c>
      <c r="I328" s="1" t="s">
        <v>50</v>
      </c>
      <c r="J328" s="1">
        <v>2</v>
      </c>
      <c r="K328" s="27">
        <v>80</v>
      </c>
      <c r="L328" s="27">
        <v>0.05</v>
      </c>
      <c r="M328" s="1" t="s">
        <v>39</v>
      </c>
      <c r="N328" s="1" t="s">
        <v>55</v>
      </c>
      <c r="O328" t="str">
        <f t="shared" si="20"/>
        <v>Mar</v>
      </c>
      <c r="P328" t="str">
        <f t="shared" si="21"/>
        <v>2026</v>
      </c>
      <c r="Q328" s="25">
        <f t="shared" si="22"/>
        <v>130</v>
      </c>
      <c r="R328" s="29">
        <f t="shared" si="23"/>
        <v>247</v>
      </c>
    </row>
    <row r="329" spans="1:18" x14ac:dyDescent="0.25">
      <c r="A329" s="5" t="s">
        <v>578</v>
      </c>
      <c r="B329" s="3" t="s">
        <v>579</v>
      </c>
      <c r="C329" s="1" t="s">
        <v>350</v>
      </c>
      <c r="D329" s="1" t="s">
        <v>19</v>
      </c>
      <c r="E329" s="1">
        <v>27</v>
      </c>
      <c r="F329" s="1" t="s">
        <v>37</v>
      </c>
      <c r="G329" s="1" t="s">
        <v>38</v>
      </c>
      <c r="H329" s="1" t="s">
        <v>22</v>
      </c>
      <c r="I329" s="1" t="s">
        <v>23</v>
      </c>
      <c r="J329" s="1">
        <v>6</v>
      </c>
      <c r="K329" s="27">
        <v>850</v>
      </c>
      <c r="L329" s="27">
        <v>0.15</v>
      </c>
      <c r="M329" s="1" t="s">
        <v>45</v>
      </c>
      <c r="N329" s="1" t="s">
        <v>25</v>
      </c>
      <c r="O329" t="str">
        <f t="shared" si="20"/>
        <v>Jun</v>
      </c>
      <c r="P329" t="str">
        <f t="shared" si="21"/>
        <v>2026</v>
      </c>
      <c r="Q329" s="25">
        <f t="shared" si="22"/>
        <v>900</v>
      </c>
      <c r="R329" s="29">
        <f t="shared" si="23"/>
        <v>4590</v>
      </c>
    </row>
    <row r="330" spans="1:18" x14ac:dyDescent="0.25">
      <c r="A330" s="5" t="s">
        <v>580</v>
      </c>
      <c r="B330" s="3" t="s">
        <v>321</v>
      </c>
      <c r="C330" s="1" t="s">
        <v>42</v>
      </c>
      <c r="D330" s="1" t="s">
        <v>36</v>
      </c>
      <c r="E330" s="1">
        <v>38</v>
      </c>
      <c r="F330" s="1" t="s">
        <v>20</v>
      </c>
      <c r="G330" s="1" t="s">
        <v>21</v>
      </c>
      <c r="H330" s="1" t="s">
        <v>109</v>
      </c>
      <c r="I330" s="1" t="s">
        <v>50</v>
      </c>
      <c r="J330" s="1">
        <v>9</v>
      </c>
      <c r="K330" s="27">
        <v>80</v>
      </c>
      <c r="L330" s="27">
        <v>0.1</v>
      </c>
      <c r="M330" s="1" t="s">
        <v>45</v>
      </c>
      <c r="N330" s="1" t="s">
        <v>55</v>
      </c>
      <c r="O330" t="str">
        <f t="shared" si="20"/>
        <v>Feb</v>
      </c>
      <c r="P330" t="str">
        <f t="shared" si="21"/>
        <v>2026</v>
      </c>
      <c r="Q330" s="25">
        <f t="shared" si="22"/>
        <v>130</v>
      </c>
      <c r="R330" s="29">
        <f t="shared" si="23"/>
        <v>1053</v>
      </c>
    </row>
    <row r="331" spans="1:18" x14ac:dyDescent="0.25">
      <c r="A331" s="5" t="s">
        <v>581</v>
      </c>
      <c r="B331" s="3" t="s">
        <v>185</v>
      </c>
      <c r="C331" s="1" t="s">
        <v>145</v>
      </c>
      <c r="D331" s="1" t="s">
        <v>36</v>
      </c>
      <c r="E331" s="1">
        <v>57</v>
      </c>
      <c r="F331" s="1" t="s">
        <v>88</v>
      </c>
      <c r="G331" s="1" t="s">
        <v>89</v>
      </c>
      <c r="H331" s="1" t="s">
        <v>49</v>
      </c>
      <c r="I331" s="1" t="s">
        <v>50</v>
      </c>
      <c r="J331" s="1">
        <v>3</v>
      </c>
      <c r="K331" s="27">
        <v>120</v>
      </c>
      <c r="L331" s="27">
        <v>0.1</v>
      </c>
      <c r="M331" s="1" t="s">
        <v>39</v>
      </c>
      <c r="N331" s="1" t="s">
        <v>25</v>
      </c>
      <c r="O331" t="str">
        <f t="shared" si="20"/>
        <v>Feb</v>
      </c>
      <c r="P331" t="str">
        <f t="shared" si="21"/>
        <v>2026</v>
      </c>
      <c r="Q331" s="25">
        <f t="shared" si="22"/>
        <v>170</v>
      </c>
      <c r="R331" s="29">
        <f t="shared" si="23"/>
        <v>459</v>
      </c>
    </row>
    <row r="332" spans="1:18" x14ac:dyDescent="0.25">
      <c r="A332" s="5" t="s">
        <v>582</v>
      </c>
      <c r="B332" s="3" t="s">
        <v>363</v>
      </c>
      <c r="C332" s="1" t="s">
        <v>126</v>
      </c>
      <c r="D332" s="1" t="s">
        <v>36</v>
      </c>
      <c r="E332" s="1">
        <v>44</v>
      </c>
      <c r="F332" s="1" t="s">
        <v>37</v>
      </c>
      <c r="G332" s="1" t="s">
        <v>38</v>
      </c>
      <c r="H332" s="1" t="s">
        <v>22</v>
      </c>
      <c r="I332" s="1" t="s">
        <v>23</v>
      </c>
      <c r="J332" s="1">
        <v>7</v>
      </c>
      <c r="K332" s="27">
        <v>850</v>
      </c>
      <c r="L332" s="27">
        <v>0</v>
      </c>
      <c r="M332" s="1" t="s">
        <v>24</v>
      </c>
      <c r="N332" s="1" t="s">
        <v>55</v>
      </c>
      <c r="O332" t="str">
        <f t="shared" si="20"/>
        <v>Jan</v>
      </c>
      <c r="P332" t="str">
        <f t="shared" si="21"/>
        <v>2026</v>
      </c>
      <c r="Q332" s="25">
        <f t="shared" si="22"/>
        <v>900</v>
      </c>
      <c r="R332" s="29">
        <f t="shared" si="23"/>
        <v>6300</v>
      </c>
    </row>
    <row r="333" spans="1:18" x14ac:dyDescent="0.25">
      <c r="A333" s="5" t="s">
        <v>583</v>
      </c>
      <c r="B333" s="3" t="s">
        <v>584</v>
      </c>
      <c r="C333" s="1" t="s">
        <v>108</v>
      </c>
      <c r="D333" s="1" t="s">
        <v>19</v>
      </c>
      <c r="E333" s="1">
        <v>25</v>
      </c>
      <c r="F333" s="1" t="s">
        <v>20</v>
      </c>
      <c r="G333" s="1" t="s">
        <v>21</v>
      </c>
      <c r="H333" s="1" t="s">
        <v>73</v>
      </c>
      <c r="I333" s="1" t="s">
        <v>69</v>
      </c>
      <c r="J333" s="1">
        <v>2</v>
      </c>
      <c r="K333" s="27">
        <v>5</v>
      </c>
      <c r="L333" s="27">
        <v>0</v>
      </c>
      <c r="M333" s="1" t="s">
        <v>58</v>
      </c>
      <c r="N333" s="1" t="s">
        <v>25</v>
      </c>
      <c r="O333" t="str">
        <f t="shared" si="20"/>
        <v>Jun</v>
      </c>
      <c r="P333" t="str">
        <f t="shared" si="21"/>
        <v>2026</v>
      </c>
      <c r="Q333" s="25">
        <f t="shared" si="22"/>
        <v>55</v>
      </c>
      <c r="R333" s="29">
        <f t="shared" si="23"/>
        <v>110</v>
      </c>
    </row>
    <row r="334" spans="1:18" x14ac:dyDescent="0.25">
      <c r="A334" s="5" t="s">
        <v>585</v>
      </c>
      <c r="B334" s="3" t="s">
        <v>481</v>
      </c>
      <c r="C334" s="1" t="s">
        <v>102</v>
      </c>
      <c r="D334" s="1" t="s">
        <v>36</v>
      </c>
      <c r="E334" s="1">
        <v>59</v>
      </c>
      <c r="F334" s="1" t="s">
        <v>88</v>
      </c>
      <c r="G334" s="1" t="s">
        <v>89</v>
      </c>
      <c r="H334" s="1" t="s">
        <v>22</v>
      </c>
      <c r="I334" s="1" t="s">
        <v>23</v>
      </c>
      <c r="J334" s="1">
        <v>7</v>
      </c>
      <c r="K334" s="27">
        <v>850</v>
      </c>
      <c r="L334" s="27">
        <v>0.15</v>
      </c>
      <c r="M334" s="1" t="s">
        <v>45</v>
      </c>
      <c r="N334" s="1" t="s">
        <v>55</v>
      </c>
      <c r="O334" t="str">
        <f t="shared" si="20"/>
        <v>Mar</v>
      </c>
      <c r="P334" t="str">
        <f t="shared" si="21"/>
        <v>2026</v>
      </c>
      <c r="Q334" s="25">
        <f t="shared" si="22"/>
        <v>900</v>
      </c>
      <c r="R334" s="29">
        <f t="shared" si="23"/>
        <v>5355</v>
      </c>
    </row>
    <row r="335" spans="1:18" x14ac:dyDescent="0.25">
      <c r="A335" s="5" t="s">
        <v>586</v>
      </c>
      <c r="B335" s="3" t="s">
        <v>587</v>
      </c>
      <c r="C335" s="1" t="s">
        <v>96</v>
      </c>
      <c r="D335" s="1" t="s">
        <v>19</v>
      </c>
      <c r="E335" s="1">
        <v>19</v>
      </c>
      <c r="F335" s="1" t="s">
        <v>43</v>
      </c>
      <c r="G335" s="1" t="s">
        <v>44</v>
      </c>
      <c r="H335" s="1" t="s">
        <v>109</v>
      </c>
      <c r="I335" s="1" t="s">
        <v>50</v>
      </c>
      <c r="J335" s="1">
        <v>2</v>
      </c>
      <c r="K335" s="27">
        <v>80</v>
      </c>
      <c r="L335" s="27">
        <v>0.1</v>
      </c>
      <c r="M335" s="1" t="s">
        <v>93</v>
      </c>
      <c r="N335" s="1" t="s">
        <v>55</v>
      </c>
      <c r="O335" t="str">
        <f t="shared" si="20"/>
        <v>Jun</v>
      </c>
      <c r="P335" t="str">
        <f t="shared" si="21"/>
        <v>2026</v>
      </c>
      <c r="Q335" s="25">
        <f t="shared" si="22"/>
        <v>130</v>
      </c>
      <c r="R335" s="29">
        <f t="shared" si="23"/>
        <v>234</v>
      </c>
    </row>
    <row r="336" spans="1:18" x14ac:dyDescent="0.25">
      <c r="A336" s="5" t="s">
        <v>588</v>
      </c>
      <c r="B336" s="3" t="s">
        <v>589</v>
      </c>
      <c r="C336" s="1" t="s">
        <v>165</v>
      </c>
      <c r="D336" s="1" t="s">
        <v>36</v>
      </c>
      <c r="E336" s="1">
        <v>58</v>
      </c>
      <c r="F336" s="1" t="s">
        <v>37</v>
      </c>
      <c r="G336" s="1" t="s">
        <v>38</v>
      </c>
      <c r="H336" s="1" t="s">
        <v>68</v>
      </c>
      <c r="I336" s="1" t="s">
        <v>69</v>
      </c>
      <c r="J336" s="1">
        <v>3</v>
      </c>
      <c r="K336" s="27">
        <v>2</v>
      </c>
      <c r="L336" s="27">
        <v>0</v>
      </c>
      <c r="M336" s="1" t="s">
        <v>31</v>
      </c>
      <c r="N336" s="1" t="s">
        <v>55</v>
      </c>
      <c r="O336" t="str">
        <f t="shared" si="20"/>
        <v>Apr</v>
      </c>
      <c r="P336" t="str">
        <f t="shared" si="21"/>
        <v>2026</v>
      </c>
      <c r="Q336" s="25">
        <f t="shared" si="22"/>
        <v>52</v>
      </c>
      <c r="R336" s="29">
        <f t="shared" si="23"/>
        <v>156</v>
      </c>
    </row>
    <row r="337" spans="1:18" x14ac:dyDescent="0.25">
      <c r="A337" s="5" t="s">
        <v>590</v>
      </c>
      <c r="B337" s="3" t="s">
        <v>502</v>
      </c>
      <c r="C337" s="1" t="s">
        <v>92</v>
      </c>
      <c r="D337" s="1" t="s">
        <v>36</v>
      </c>
      <c r="E337" s="1">
        <v>50</v>
      </c>
      <c r="F337" s="1" t="s">
        <v>20</v>
      </c>
      <c r="G337" s="1" t="s">
        <v>21</v>
      </c>
      <c r="H337" s="1" t="s">
        <v>62</v>
      </c>
      <c r="I337" s="1" t="s">
        <v>23</v>
      </c>
      <c r="J337" s="1">
        <v>10</v>
      </c>
      <c r="K337" s="27">
        <v>15</v>
      </c>
      <c r="L337" s="27">
        <v>0.1</v>
      </c>
      <c r="M337" s="1" t="s">
        <v>58</v>
      </c>
      <c r="N337" s="1" t="s">
        <v>51</v>
      </c>
      <c r="O337" t="str">
        <f t="shared" si="20"/>
        <v>Jun</v>
      </c>
      <c r="P337" t="str">
        <f t="shared" si="21"/>
        <v>2026</v>
      </c>
      <c r="Q337" s="25">
        <f t="shared" si="22"/>
        <v>65</v>
      </c>
      <c r="R337" s="29">
        <f t="shared" si="23"/>
        <v>585</v>
      </c>
    </row>
    <row r="338" spans="1:18" x14ac:dyDescent="0.25">
      <c r="A338" s="5" t="s">
        <v>591</v>
      </c>
      <c r="B338" s="3" t="s">
        <v>415</v>
      </c>
      <c r="C338" s="1" t="s">
        <v>72</v>
      </c>
      <c r="D338" s="1" t="s">
        <v>19</v>
      </c>
      <c r="E338" s="1">
        <v>29</v>
      </c>
      <c r="F338" s="1" t="s">
        <v>43</v>
      </c>
      <c r="G338" s="1" t="s">
        <v>44</v>
      </c>
      <c r="H338" s="1" t="s">
        <v>62</v>
      </c>
      <c r="I338" s="1" t="s">
        <v>23</v>
      </c>
      <c r="J338" s="1">
        <v>9</v>
      </c>
      <c r="K338" s="27">
        <v>15</v>
      </c>
      <c r="L338" s="27">
        <v>0.1</v>
      </c>
      <c r="M338" s="1" t="s">
        <v>39</v>
      </c>
      <c r="N338" s="1" t="s">
        <v>55</v>
      </c>
      <c r="O338" t="str">
        <f t="shared" si="20"/>
        <v>May</v>
      </c>
      <c r="P338" t="str">
        <f t="shared" si="21"/>
        <v>2026</v>
      </c>
      <c r="Q338" s="25">
        <f t="shared" si="22"/>
        <v>65</v>
      </c>
      <c r="R338" s="29">
        <f t="shared" si="23"/>
        <v>526.5</v>
      </c>
    </row>
    <row r="339" spans="1:18" x14ac:dyDescent="0.25">
      <c r="A339" s="5" t="s">
        <v>592</v>
      </c>
      <c r="B339" s="3" t="s">
        <v>286</v>
      </c>
      <c r="C339" s="1" t="s">
        <v>258</v>
      </c>
      <c r="D339" s="1" t="s">
        <v>36</v>
      </c>
      <c r="E339" s="1">
        <v>47</v>
      </c>
      <c r="F339" s="1" t="s">
        <v>37</v>
      </c>
      <c r="G339" s="1" t="s">
        <v>38</v>
      </c>
      <c r="H339" s="1" t="s">
        <v>62</v>
      </c>
      <c r="I339" s="1" t="s">
        <v>23</v>
      </c>
      <c r="J339" s="1">
        <v>3</v>
      </c>
      <c r="K339" s="27">
        <v>15</v>
      </c>
      <c r="L339" s="27">
        <v>0.05</v>
      </c>
      <c r="M339" s="1" t="s">
        <v>93</v>
      </c>
      <c r="N339" s="1" t="s">
        <v>51</v>
      </c>
      <c r="O339" t="str">
        <f t="shared" si="20"/>
        <v>May</v>
      </c>
      <c r="P339" t="str">
        <f t="shared" si="21"/>
        <v>2026</v>
      </c>
      <c r="Q339" s="25">
        <f t="shared" si="22"/>
        <v>65</v>
      </c>
      <c r="R339" s="29">
        <f t="shared" si="23"/>
        <v>185.25</v>
      </c>
    </row>
    <row r="340" spans="1:18" x14ac:dyDescent="0.25">
      <c r="A340" s="5" t="s">
        <v>593</v>
      </c>
      <c r="B340" s="3" t="s">
        <v>321</v>
      </c>
      <c r="C340" s="1" t="s">
        <v>87</v>
      </c>
      <c r="D340" s="1" t="s">
        <v>19</v>
      </c>
      <c r="E340" s="1">
        <v>36</v>
      </c>
      <c r="F340" s="1" t="s">
        <v>37</v>
      </c>
      <c r="G340" s="1" t="s">
        <v>38</v>
      </c>
      <c r="H340" s="1" t="s">
        <v>68</v>
      </c>
      <c r="I340" s="1" t="s">
        <v>69</v>
      </c>
      <c r="J340" s="1">
        <v>6</v>
      </c>
      <c r="K340" s="27">
        <v>2</v>
      </c>
      <c r="L340" s="27">
        <v>0.05</v>
      </c>
      <c r="M340" s="1" t="s">
        <v>39</v>
      </c>
      <c r="N340" s="1" t="s">
        <v>25</v>
      </c>
      <c r="O340" t="str">
        <f t="shared" si="20"/>
        <v>Feb</v>
      </c>
      <c r="P340" t="str">
        <f t="shared" si="21"/>
        <v>2026</v>
      </c>
      <c r="Q340" s="25">
        <f t="shared" si="22"/>
        <v>52</v>
      </c>
      <c r="R340" s="29">
        <f t="shared" si="23"/>
        <v>296.39999999999998</v>
      </c>
    </row>
    <row r="341" spans="1:18" x14ac:dyDescent="0.25">
      <c r="A341" s="5" t="s">
        <v>594</v>
      </c>
      <c r="B341" s="3" t="s">
        <v>595</v>
      </c>
      <c r="C341" s="1" t="s">
        <v>318</v>
      </c>
      <c r="D341" s="1" t="s">
        <v>19</v>
      </c>
      <c r="E341" s="1">
        <v>59</v>
      </c>
      <c r="F341" s="1" t="s">
        <v>43</v>
      </c>
      <c r="G341" s="1" t="s">
        <v>44</v>
      </c>
      <c r="H341" s="1" t="s">
        <v>62</v>
      </c>
      <c r="I341" s="1" t="s">
        <v>23</v>
      </c>
      <c r="J341" s="1">
        <v>2</v>
      </c>
      <c r="K341" s="27">
        <v>15</v>
      </c>
      <c r="L341" s="27">
        <v>0.05</v>
      </c>
      <c r="M341" s="1" t="s">
        <v>31</v>
      </c>
      <c r="N341" s="1" t="s">
        <v>25</v>
      </c>
      <c r="O341" t="str">
        <f t="shared" si="20"/>
        <v>Jun</v>
      </c>
      <c r="P341" t="str">
        <f t="shared" si="21"/>
        <v>2026</v>
      </c>
      <c r="Q341" s="25">
        <f t="shared" si="22"/>
        <v>65</v>
      </c>
      <c r="R341" s="29">
        <f t="shared" si="23"/>
        <v>123.5</v>
      </c>
    </row>
    <row r="342" spans="1:18" x14ac:dyDescent="0.25">
      <c r="A342" s="5" t="s">
        <v>596</v>
      </c>
      <c r="B342" s="3" t="s">
        <v>154</v>
      </c>
      <c r="C342" s="1" t="s">
        <v>65</v>
      </c>
      <c r="D342" s="1" t="s">
        <v>36</v>
      </c>
      <c r="E342" s="1">
        <v>34</v>
      </c>
      <c r="F342" s="1" t="s">
        <v>20</v>
      </c>
      <c r="G342" s="1" t="s">
        <v>21</v>
      </c>
      <c r="H342" s="1" t="s">
        <v>109</v>
      </c>
      <c r="I342" s="1" t="s">
        <v>50</v>
      </c>
      <c r="J342" s="1">
        <v>6</v>
      </c>
      <c r="K342" s="27">
        <v>80</v>
      </c>
      <c r="L342" s="27">
        <v>0.05</v>
      </c>
      <c r="M342" s="1" t="s">
        <v>93</v>
      </c>
      <c r="N342" s="1" t="s">
        <v>32</v>
      </c>
      <c r="O342" t="str">
        <f t="shared" si="20"/>
        <v>Jun</v>
      </c>
      <c r="P342" t="str">
        <f t="shared" si="21"/>
        <v>2026</v>
      </c>
      <c r="Q342" s="25">
        <f t="shared" si="22"/>
        <v>130</v>
      </c>
      <c r="R342" s="29">
        <f t="shared" si="23"/>
        <v>741</v>
      </c>
    </row>
    <row r="343" spans="1:18" x14ac:dyDescent="0.25">
      <c r="A343" s="5" t="s">
        <v>597</v>
      </c>
      <c r="B343" s="3" t="s">
        <v>448</v>
      </c>
      <c r="C343" s="1" t="s">
        <v>165</v>
      </c>
      <c r="D343" s="1" t="s">
        <v>19</v>
      </c>
      <c r="E343" s="1">
        <v>34</v>
      </c>
      <c r="F343" s="1" t="s">
        <v>88</v>
      </c>
      <c r="G343" s="1" t="s">
        <v>89</v>
      </c>
      <c r="H343" s="1" t="s">
        <v>118</v>
      </c>
      <c r="I343" s="1" t="s">
        <v>23</v>
      </c>
      <c r="J343" s="1">
        <v>6</v>
      </c>
      <c r="K343" s="27">
        <v>180</v>
      </c>
      <c r="L343" s="27">
        <v>0.1</v>
      </c>
      <c r="M343" s="1" t="s">
        <v>39</v>
      </c>
      <c r="N343" s="1" t="s">
        <v>51</v>
      </c>
      <c r="O343" t="str">
        <f t="shared" si="20"/>
        <v>Mar</v>
      </c>
      <c r="P343" t="str">
        <f t="shared" si="21"/>
        <v>2026</v>
      </c>
      <c r="Q343" s="25">
        <f t="shared" si="22"/>
        <v>230</v>
      </c>
      <c r="R343" s="29">
        <f t="shared" si="23"/>
        <v>1242</v>
      </c>
    </row>
    <row r="344" spans="1:18" x14ac:dyDescent="0.25">
      <c r="A344" s="5" t="s">
        <v>598</v>
      </c>
      <c r="B344" s="3" t="s">
        <v>599</v>
      </c>
      <c r="C344" s="1" t="s">
        <v>136</v>
      </c>
      <c r="D344" s="1" t="s">
        <v>36</v>
      </c>
      <c r="E344" s="1">
        <v>56</v>
      </c>
      <c r="F344" s="1" t="s">
        <v>20</v>
      </c>
      <c r="G344" s="1" t="s">
        <v>21</v>
      </c>
      <c r="H344" s="1" t="s">
        <v>68</v>
      </c>
      <c r="I344" s="1" t="s">
        <v>69</v>
      </c>
      <c r="J344" s="1">
        <v>1</v>
      </c>
      <c r="K344" s="27">
        <v>2</v>
      </c>
      <c r="L344" s="27">
        <v>0</v>
      </c>
      <c r="M344" s="1" t="s">
        <v>93</v>
      </c>
      <c r="N344" s="1" t="s">
        <v>25</v>
      </c>
      <c r="O344" t="str">
        <f t="shared" si="20"/>
        <v>Apr</v>
      </c>
      <c r="P344" t="str">
        <f t="shared" si="21"/>
        <v>2026</v>
      </c>
      <c r="Q344" s="25">
        <f t="shared" si="22"/>
        <v>52</v>
      </c>
      <c r="R344" s="29">
        <f t="shared" si="23"/>
        <v>52</v>
      </c>
    </row>
    <row r="345" spans="1:18" x14ac:dyDescent="0.25">
      <c r="A345" s="5" t="s">
        <v>600</v>
      </c>
      <c r="B345" s="3" t="s">
        <v>286</v>
      </c>
      <c r="C345" s="1" t="s">
        <v>108</v>
      </c>
      <c r="D345" s="1" t="s">
        <v>19</v>
      </c>
      <c r="E345" s="1">
        <v>52</v>
      </c>
      <c r="F345" s="1" t="s">
        <v>37</v>
      </c>
      <c r="G345" s="1" t="s">
        <v>38</v>
      </c>
      <c r="H345" s="1" t="s">
        <v>68</v>
      </c>
      <c r="I345" s="1" t="s">
        <v>69</v>
      </c>
      <c r="J345" s="1">
        <v>8</v>
      </c>
      <c r="K345" s="27">
        <v>2</v>
      </c>
      <c r="L345" s="27">
        <v>0.1</v>
      </c>
      <c r="M345" s="1" t="s">
        <v>31</v>
      </c>
      <c r="N345" s="1" t="s">
        <v>25</v>
      </c>
      <c r="O345" t="str">
        <f t="shared" si="20"/>
        <v>May</v>
      </c>
      <c r="P345" t="str">
        <f t="shared" si="21"/>
        <v>2026</v>
      </c>
      <c r="Q345" s="25">
        <f t="shared" si="22"/>
        <v>52</v>
      </c>
      <c r="R345" s="29">
        <f t="shared" si="23"/>
        <v>374.40000000000003</v>
      </c>
    </row>
    <row r="346" spans="1:18" x14ac:dyDescent="0.25">
      <c r="A346" s="5" t="s">
        <v>601</v>
      </c>
      <c r="B346" s="3" t="s">
        <v>334</v>
      </c>
      <c r="C346" s="1" t="s">
        <v>123</v>
      </c>
      <c r="D346" s="1" t="s">
        <v>19</v>
      </c>
      <c r="E346" s="1">
        <v>50</v>
      </c>
      <c r="F346" s="1" t="s">
        <v>20</v>
      </c>
      <c r="G346" s="1" t="s">
        <v>21</v>
      </c>
      <c r="H346" s="1" t="s">
        <v>22</v>
      </c>
      <c r="I346" s="1" t="s">
        <v>23</v>
      </c>
      <c r="J346" s="1">
        <v>6</v>
      </c>
      <c r="K346" s="27">
        <v>850</v>
      </c>
      <c r="L346" s="27">
        <v>0.1</v>
      </c>
      <c r="M346" s="1" t="s">
        <v>39</v>
      </c>
      <c r="N346" s="1" t="s">
        <v>55</v>
      </c>
      <c r="O346" t="str">
        <f t="shared" si="20"/>
        <v>Mar</v>
      </c>
      <c r="P346" t="str">
        <f t="shared" si="21"/>
        <v>2026</v>
      </c>
      <c r="Q346" s="25">
        <f t="shared" si="22"/>
        <v>900</v>
      </c>
      <c r="R346" s="29">
        <f t="shared" si="23"/>
        <v>4860</v>
      </c>
    </row>
    <row r="347" spans="1:18" x14ac:dyDescent="0.25">
      <c r="A347" s="5" t="s">
        <v>602</v>
      </c>
      <c r="B347" s="3" t="s">
        <v>41</v>
      </c>
      <c r="C347" s="1" t="s">
        <v>65</v>
      </c>
      <c r="D347" s="1" t="s">
        <v>19</v>
      </c>
      <c r="E347" s="1">
        <v>24</v>
      </c>
      <c r="F347" s="1" t="s">
        <v>29</v>
      </c>
      <c r="G347" s="1" t="s">
        <v>30</v>
      </c>
      <c r="H347" s="1" t="s">
        <v>118</v>
      </c>
      <c r="I347" s="1" t="s">
        <v>23</v>
      </c>
      <c r="J347" s="1">
        <v>6</v>
      </c>
      <c r="K347" s="27">
        <v>180</v>
      </c>
      <c r="L347" s="27">
        <v>0.1</v>
      </c>
      <c r="M347" s="1" t="s">
        <v>39</v>
      </c>
      <c r="N347" s="1" t="s">
        <v>55</v>
      </c>
      <c r="O347" t="str">
        <f t="shared" si="20"/>
        <v>May</v>
      </c>
      <c r="P347" t="str">
        <f t="shared" si="21"/>
        <v>2026</v>
      </c>
      <c r="Q347" s="25">
        <f t="shared" si="22"/>
        <v>230</v>
      </c>
      <c r="R347" s="29">
        <f t="shared" si="23"/>
        <v>1242</v>
      </c>
    </row>
    <row r="348" spans="1:18" x14ac:dyDescent="0.25">
      <c r="A348" s="5" t="s">
        <v>603</v>
      </c>
      <c r="B348" s="3" t="s">
        <v>91</v>
      </c>
      <c r="C348" s="1" t="s">
        <v>240</v>
      </c>
      <c r="D348" s="1" t="s">
        <v>36</v>
      </c>
      <c r="E348" s="1">
        <v>51</v>
      </c>
      <c r="F348" s="1" t="s">
        <v>29</v>
      </c>
      <c r="G348" s="1" t="s">
        <v>30</v>
      </c>
      <c r="H348" s="1" t="s">
        <v>49</v>
      </c>
      <c r="I348" s="1" t="s">
        <v>50</v>
      </c>
      <c r="J348" s="1">
        <v>7</v>
      </c>
      <c r="K348" s="27">
        <v>120</v>
      </c>
      <c r="L348" s="27">
        <v>0.05</v>
      </c>
      <c r="M348" s="1" t="s">
        <v>31</v>
      </c>
      <c r="N348" s="1" t="s">
        <v>55</v>
      </c>
      <c r="O348" t="str">
        <f t="shared" si="20"/>
        <v>May</v>
      </c>
      <c r="P348" t="str">
        <f t="shared" si="21"/>
        <v>2026</v>
      </c>
      <c r="Q348" s="25">
        <f t="shared" si="22"/>
        <v>170</v>
      </c>
      <c r="R348" s="29">
        <f t="shared" si="23"/>
        <v>1130.5</v>
      </c>
    </row>
    <row r="349" spans="1:18" x14ac:dyDescent="0.25">
      <c r="A349" s="5" t="s">
        <v>604</v>
      </c>
      <c r="B349" s="3" t="s">
        <v>579</v>
      </c>
      <c r="C349" s="1" t="s">
        <v>126</v>
      </c>
      <c r="D349" s="1" t="s">
        <v>36</v>
      </c>
      <c r="E349" s="1">
        <v>25</v>
      </c>
      <c r="F349" s="1" t="s">
        <v>20</v>
      </c>
      <c r="G349" s="1" t="s">
        <v>21</v>
      </c>
      <c r="H349" s="1" t="s">
        <v>73</v>
      </c>
      <c r="I349" s="1" t="s">
        <v>69</v>
      </c>
      <c r="J349" s="1">
        <v>1</v>
      </c>
      <c r="K349" s="27">
        <v>5</v>
      </c>
      <c r="L349" s="27">
        <v>0.1</v>
      </c>
      <c r="M349" s="1" t="s">
        <v>24</v>
      </c>
      <c r="N349" s="1" t="s">
        <v>51</v>
      </c>
      <c r="O349" t="str">
        <f t="shared" si="20"/>
        <v>Jun</v>
      </c>
      <c r="P349" t="str">
        <f t="shared" si="21"/>
        <v>2026</v>
      </c>
      <c r="Q349" s="25">
        <f t="shared" si="22"/>
        <v>55</v>
      </c>
      <c r="R349" s="29">
        <f t="shared" si="23"/>
        <v>49.5</v>
      </c>
    </row>
    <row r="350" spans="1:18" x14ac:dyDescent="0.25">
      <c r="A350" s="5" t="s">
        <v>605</v>
      </c>
      <c r="B350" s="3" t="s">
        <v>64</v>
      </c>
      <c r="C350" s="1" t="s">
        <v>18</v>
      </c>
      <c r="D350" s="1" t="s">
        <v>19</v>
      </c>
      <c r="E350" s="1">
        <v>39</v>
      </c>
      <c r="F350" s="1" t="s">
        <v>37</v>
      </c>
      <c r="G350" s="1" t="s">
        <v>38</v>
      </c>
      <c r="H350" s="1" t="s">
        <v>79</v>
      </c>
      <c r="I350" s="1" t="s">
        <v>23</v>
      </c>
      <c r="J350" s="1">
        <v>8</v>
      </c>
      <c r="K350" s="27">
        <v>500</v>
      </c>
      <c r="L350" s="27">
        <v>0.15</v>
      </c>
      <c r="M350" s="1" t="s">
        <v>58</v>
      </c>
      <c r="N350" s="1" t="s">
        <v>32</v>
      </c>
      <c r="O350" t="str">
        <f t="shared" si="20"/>
        <v>Apr</v>
      </c>
      <c r="P350" t="str">
        <f t="shared" si="21"/>
        <v>2026</v>
      </c>
      <c r="Q350" s="25">
        <f t="shared" si="22"/>
        <v>550</v>
      </c>
      <c r="R350" s="29">
        <f t="shared" si="23"/>
        <v>3740</v>
      </c>
    </row>
    <row r="351" spans="1:18" x14ac:dyDescent="0.25">
      <c r="A351" s="5" t="s">
        <v>606</v>
      </c>
      <c r="B351" s="3" t="s">
        <v>328</v>
      </c>
      <c r="C351" s="1" t="s">
        <v>188</v>
      </c>
      <c r="D351" s="1" t="s">
        <v>36</v>
      </c>
      <c r="E351" s="1">
        <v>19</v>
      </c>
      <c r="F351" s="1" t="s">
        <v>20</v>
      </c>
      <c r="G351" s="1" t="s">
        <v>21</v>
      </c>
      <c r="H351" s="1" t="s">
        <v>68</v>
      </c>
      <c r="I351" s="1" t="s">
        <v>69</v>
      </c>
      <c r="J351" s="1">
        <v>7</v>
      </c>
      <c r="K351" s="27">
        <v>2</v>
      </c>
      <c r="L351" s="27">
        <v>0.05</v>
      </c>
      <c r="M351" s="1" t="s">
        <v>93</v>
      </c>
      <c r="N351" s="1" t="s">
        <v>25</v>
      </c>
      <c r="O351" t="str">
        <f t="shared" si="20"/>
        <v>May</v>
      </c>
      <c r="P351" t="str">
        <f t="shared" si="21"/>
        <v>2026</v>
      </c>
      <c r="Q351" s="25">
        <f t="shared" si="22"/>
        <v>52</v>
      </c>
      <c r="R351" s="29">
        <f t="shared" si="23"/>
        <v>345.8</v>
      </c>
    </row>
    <row r="352" spans="1:18" x14ac:dyDescent="0.25">
      <c r="A352" s="5" t="s">
        <v>607</v>
      </c>
      <c r="B352" s="3" t="s">
        <v>128</v>
      </c>
      <c r="C352" s="1" t="s">
        <v>268</v>
      </c>
      <c r="D352" s="1" t="s">
        <v>19</v>
      </c>
      <c r="E352" s="1">
        <v>36</v>
      </c>
      <c r="F352" s="1" t="s">
        <v>43</v>
      </c>
      <c r="G352" s="1" t="s">
        <v>44</v>
      </c>
      <c r="H352" s="1" t="s">
        <v>118</v>
      </c>
      <c r="I352" s="1" t="s">
        <v>23</v>
      </c>
      <c r="J352" s="1">
        <v>6</v>
      </c>
      <c r="K352" s="27">
        <v>180</v>
      </c>
      <c r="L352" s="27">
        <v>0.05</v>
      </c>
      <c r="M352" s="1" t="s">
        <v>45</v>
      </c>
      <c r="N352" s="1" t="s">
        <v>32</v>
      </c>
      <c r="O352" t="str">
        <f t="shared" si="20"/>
        <v>Feb</v>
      </c>
      <c r="P352" t="str">
        <f t="shared" si="21"/>
        <v>2026</v>
      </c>
      <c r="Q352" s="25">
        <f t="shared" si="22"/>
        <v>230</v>
      </c>
      <c r="R352" s="29">
        <f t="shared" si="23"/>
        <v>1311</v>
      </c>
    </row>
    <row r="353" spans="1:18" x14ac:dyDescent="0.25">
      <c r="A353" s="5" t="s">
        <v>608</v>
      </c>
      <c r="B353" s="3" t="s">
        <v>225</v>
      </c>
      <c r="C353" s="1" t="s">
        <v>108</v>
      </c>
      <c r="D353" s="1" t="s">
        <v>19</v>
      </c>
      <c r="E353" s="1">
        <v>59</v>
      </c>
      <c r="F353" s="1" t="s">
        <v>43</v>
      </c>
      <c r="G353" s="1" t="s">
        <v>44</v>
      </c>
      <c r="H353" s="1" t="s">
        <v>49</v>
      </c>
      <c r="I353" s="1" t="s">
        <v>50</v>
      </c>
      <c r="J353" s="1">
        <v>3</v>
      </c>
      <c r="K353" s="27">
        <v>120</v>
      </c>
      <c r="L353" s="27">
        <v>0</v>
      </c>
      <c r="M353" s="1" t="s">
        <v>39</v>
      </c>
      <c r="N353" s="1" t="s">
        <v>32</v>
      </c>
      <c r="O353" t="str">
        <f t="shared" si="20"/>
        <v>Mar</v>
      </c>
      <c r="P353" t="str">
        <f t="shared" si="21"/>
        <v>2026</v>
      </c>
      <c r="Q353" s="25">
        <f t="shared" si="22"/>
        <v>170</v>
      </c>
      <c r="R353" s="29">
        <f t="shared" si="23"/>
        <v>510</v>
      </c>
    </row>
    <row r="354" spans="1:18" x14ac:dyDescent="0.25">
      <c r="A354" s="5" t="s">
        <v>609</v>
      </c>
      <c r="B354" s="3" t="s">
        <v>197</v>
      </c>
      <c r="C354" s="1" t="s">
        <v>223</v>
      </c>
      <c r="D354" s="1" t="s">
        <v>36</v>
      </c>
      <c r="E354" s="1">
        <v>37</v>
      </c>
      <c r="F354" s="1" t="s">
        <v>88</v>
      </c>
      <c r="G354" s="1" t="s">
        <v>89</v>
      </c>
      <c r="H354" s="1" t="s">
        <v>68</v>
      </c>
      <c r="I354" s="1" t="s">
        <v>69</v>
      </c>
      <c r="J354" s="1">
        <v>5</v>
      </c>
      <c r="K354" s="27">
        <v>2</v>
      </c>
      <c r="L354" s="27">
        <v>0.15</v>
      </c>
      <c r="M354" s="1" t="s">
        <v>58</v>
      </c>
      <c r="N354" s="1" t="s">
        <v>51</v>
      </c>
      <c r="O354" t="str">
        <f t="shared" si="20"/>
        <v>Mar</v>
      </c>
      <c r="P354" t="str">
        <f t="shared" si="21"/>
        <v>2026</v>
      </c>
      <c r="Q354" s="25">
        <f t="shared" si="22"/>
        <v>52</v>
      </c>
      <c r="R354" s="29">
        <f t="shared" si="23"/>
        <v>221</v>
      </c>
    </row>
    <row r="355" spans="1:18" x14ac:dyDescent="0.25">
      <c r="A355" s="5" t="s">
        <v>610</v>
      </c>
      <c r="B355" s="3" t="s">
        <v>589</v>
      </c>
      <c r="C355" s="1" t="s">
        <v>268</v>
      </c>
      <c r="D355" s="1" t="s">
        <v>36</v>
      </c>
      <c r="E355" s="1">
        <v>48</v>
      </c>
      <c r="F355" s="1" t="s">
        <v>43</v>
      </c>
      <c r="G355" s="1" t="s">
        <v>44</v>
      </c>
      <c r="H355" s="1" t="s">
        <v>79</v>
      </c>
      <c r="I355" s="1" t="s">
        <v>23</v>
      </c>
      <c r="J355" s="1">
        <v>4</v>
      </c>
      <c r="K355" s="27">
        <v>500</v>
      </c>
      <c r="L355" s="27">
        <v>0.1</v>
      </c>
      <c r="M355" s="1" t="s">
        <v>39</v>
      </c>
      <c r="N355" s="1" t="s">
        <v>32</v>
      </c>
      <c r="O355" t="str">
        <f t="shared" si="20"/>
        <v>Apr</v>
      </c>
      <c r="P355" t="str">
        <f t="shared" si="21"/>
        <v>2026</v>
      </c>
      <c r="Q355" s="25">
        <f t="shared" si="22"/>
        <v>550</v>
      </c>
      <c r="R355" s="29">
        <f t="shared" si="23"/>
        <v>1980</v>
      </c>
    </row>
    <row r="356" spans="1:18" x14ac:dyDescent="0.25">
      <c r="A356" s="5" t="s">
        <v>611</v>
      </c>
      <c r="B356" s="3" t="s">
        <v>377</v>
      </c>
      <c r="C356" s="1" t="s">
        <v>145</v>
      </c>
      <c r="D356" s="1" t="s">
        <v>19</v>
      </c>
      <c r="E356" s="1">
        <v>37</v>
      </c>
      <c r="F356" s="1" t="s">
        <v>37</v>
      </c>
      <c r="G356" s="1" t="s">
        <v>38</v>
      </c>
      <c r="H356" s="1" t="s">
        <v>118</v>
      </c>
      <c r="I356" s="1" t="s">
        <v>23</v>
      </c>
      <c r="J356" s="1">
        <v>6</v>
      </c>
      <c r="K356" s="27">
        <v>180</v>
      </c>
      <c r="L356" s="27">
        <v>0.05</v>
      </c>
      <c r="M356" s="1" t="s">
        <v>93</v>
      </c>
      <c r="N356" s="1" t="s">
        <v>32</v>
      </c>
      <c r="O356" t="str">
        <f t="shared" si="20"/>
        <v>May</v>
      </c>
      <c r="P356" t="str">
        <f t="shared" si="21"/>
        <v>2026</v>
      </c>
      <c r="Q356" s="25">
        <f t="shared" si="22"/>
        <v>230</v>
      </c>
      <c r="R356" s="29">
        <f t="shared" si="23"/>
        <v>1311</v>
      </c>
    </row>
    <row r="357" spans="1:18" x14ac:dyDescent="0.25">
      <c r="A357" s="5" t="s">
        <v>612</v>
      </c>
      <c r="B357" s="3" t="s">
        <v>613</v>
      </c>
      <c r="C357" s="1" t="s">
        <v>123</v>
      </c>
      <c r="D357" s="1" t="s">
        <v>19</v>
      </c>
      <c r="E357" s="1">
        <v>28</v>
      </c>
      <c r="F357" s="1" t="s">
        <v>37</v>
      </c>
      <c r="G357" s="1" t="s">
        <v>38</v>
      </c>
      <c r="H357" s="1" t="s">
        <v>49</v>
      </c>
      <c r="I357" s="1" t="s">
        <v>50</v>
      </c>
      <c r="J357" s="1">
        <v>7</v>
      </c>
      <c r="K357" s="27">
        <v>120</v>
      </c>
      <c r="L357" s="27">
        <v>0.05</v>
      </c>
      <c r="M357" s="1" t="s">
        <v>39</v>
      </c>
      <c r="N357" s="1" t="s">
        <v>32</v>
      </c>
      <c r="O357" t="str">
        <f t="shared" si="20"/>
        <v>Jun</v>
      </c>
      <c r="P357" t="str">
        <f t="shared" si="21"/>
        <v>2026</v>
      </c>
      <c r="Q357" s="25">
        <f t="shared" si="22"/>
        <v>170</v>
      </c>
      <c r="R357" s="29">
        <f t="shared" si="23"/>
        <v>1130.5</v>
      </c>
    </row>
    <row r="358" spans="1:18" x14ac:dyDescent="0.25">
      <c r="A358" s="5" t="s">
        <v>614</v>
      </c>
      <c r="B358" s="3" t="s">
        <v>615</v>
      </c>
      <c r="C358" s="1" t="s">
        <v>61</v>
      </c>
      <c r="D358" s="1" t="s">
        <v>19</v>
      </c>
      <c r="E358" s="1">
        <v>32</v>
      </c>
      <c r="F358" s="1" t="s">
        <v>37</v>
      </c>
      <c r="G358" s="1" t="s">
        <v>38</v>
      </c>
      <c r="H358" s="1" t="s">
        <v>62</v>
      </c>
      <c r="I358" s="1" t="s">
        <v>23</v>
      </c>
      <c r="J358" s="1">
        <v>6</v>
      </c>
      <c r="K358" s="27">
        <v>15</v>
      </c>
      <c r="L358" s="27">
        <v>0</v>
      </c>
      <c r="M358" s="1" t="s">
        <v>93</v>
      </c>
      <c r="N358" s="1" t="s">
        <v>55</v>
      </c>
      <c r="O358" t="str">
        <f t="shared" si="20"/>
        <v>Jan</v>
      </c>
      <c r="P358" t="str">
        <f t="shared" si="21"/>
        <v>2026</v>
      </c>
      <c r="Q358" s="25">
        <f t="shared" si="22"/>
        <v>65</v>
      </c>
      <c r="R358" s="29">
        <f t="shared" si="23"/>
        <v>390</v>
      </c>
    </row>
    <row r="359" spans="1:18" x14ac:dyDescent="0.25">
      <c r="A359" s="5" t="s">
        <v>616</v>
      </c>
      <c r="B359" s="3" t="s">
        <v>27</v>
      </c>
      <c r="C359" s="1" t="s">
        <v>251</v>
      </c>
      <c r="D359" s="1" t="s">
        <v>36</v>
      </c>
      <c r="E359" s="1">
        <v>56</v>
      </c>
      <c r="F359" s="1" t="s">
        <v>37</v>
      </c>
      <c r="G359" s="1" t="s">
        <v>38</v>
      </c>
      <c r="H359" s="1" t="s">
        <v>62</v>
      </c>
      <c r="I359" s="1" t="s">
        <v>23</v>
      </c>
      <c r="J359" s="1">
        <v>6</v>
      </c>
      <c r="K359" s="27">
        <v>15</v>
      </c>
      <c r="L359" s="27">
        <v>0.05</v>
      </c>
      <c r="M359" s="1" t="s">
        <v>31</v>
      </c>
      <c r="N359" s="1" t="s">
        <v>32</v>
      </c>
      <c r="O359" t="str">
        <f t="shared" si="20"/>
        <v>Mar</v>
      </c>
      <c r="P359" t="str">
        <f t="shared" si="21"/>
        <v>2026</v>
      </c>
      <c r="Q359" s="25">
        <f t="shared" si="22"/>
        <v>65</v>
      </c>
      <c r="R359" s="29">
        <f t="shared" si="23"/>
        <v>370.5</v>
      </c>
    </row>
    <row r="360" spans="1:18" x14ac:dyDescent="0.25">
      <c r="A360" s="5" t="s">
        <v>617</v>
      </c>
      <c r="B360" s="3" t="s">
        <v>113</v>
      </c>
      <c r="C360" s="1" t="s">
        <v>65</v>
      </c>
      <c r="D360" s="1" t="s">
        <v>19</v>
      </c>
      <c r="E360" s="1">
        <v>57</v>
      </c>
      <c r="F360" s="1" t="s">
        <v>43</v>
      </c>
      <c r="G360" s="1" t="s">
        <v>44</v>
      </c>
      <c r="H360" s="1" t="s">
        <v>68</v>
      </c>
      <c r="I360" s="1" t="s">
        <v>69</v>
      </c>
      <c r="J360" s="1">
        <v>9</v>
      </c>
      <c r="K360" s="27">
        <v>2</v>
      </c>
      <c r="L360" s="27">
        <v>0.1</v>
      </c>
      <c r="M360" s="1" t="s">
        <v>45</v>
      </c>
      <c r="N360" s="1" t="s">
        <v>25</v>
      </c>
      <c r="O360" t="str">
        <f t="shared" si="20"/>
        <v>Jun</v>
      </c>
      <c r="P360" t="str">
        <f t="shared" si="21"/>
        <v>2026</v>
      </c>
      <c r="Q360" s="25">
        <f t="shared" si="22"/>
        <v>52</v>
      </c>
      <c r="R360" s="29">
        <f t="shared" si="23"/>
        <v>421.2</v>
      </c>
    </row>
    <row r="361" spans="1:18" x14ac:dyDescent="0.25">
      <c r="A361" s="5" t="s">
        <v>618</v>
      </c>
      <c r="B361" s="3" t="s">
        <v>138</v>
      </c>
      <c r="C361" s="1" t="s">
        <v>350</v>
      </c>
      <c r="D361" s="1" t="s">
        <v>19</v>
      </c>
      <c r="E361" s="1">
        <v>51</v>
      </c>
      <c r="F361" s="1" t="s">
        <v>88</v>
      </c>
      <c r="G361" s="1" t="s">
        <v>89</v>
      </c>
      <c r="H361" s="1" t="s">
        <v>68</v>
      </c>
      <c r="I361" s="1" t="s">
        <v>69</v>
      </c>
      <c r="J361" s="1">
        <v>4</v>
      </c>
      <c r="K361" s="27">
        <v>2</v>
      </c>
      <c r="L361" s="27">
        <v>0</v>
      </c>
      <c r="M361" s="1" t="s">
        <v>45</v>
      </c>
      <c r="N361" s="1" t="s">
        <v>51</v>
      </c>
      <c r="O361" t="str">
        <f t="shared" si="20"/>
        <v>Jun</v>
      </c>
      <c r="P361" t="str">
        <f t="shared" si="21"/>
        <v>2026</v>
      </c>
      <c r="Q361" s="25">
        <f t="shared" si="22"/>
        <v>52</v>
      </c>
      <c r="R361" s="29">
        <f t="shared" si="23"/>
        <v>208</v>
      </c>
    </row>
    <row r="362" spans="1:18" x14ac:dyDescent="0.25">
      <c r="A362" s="5" t="s">
        <v>619</v>
      </c>
      <c r="B362" s="3" t="s">
        <v>81</v>
      </c>
      <c r="C362" s="1" t="s">
        <v>114</v>
      </c>
      <c r="D362" s="1" t="s">
        <v>36</v>
      </c>
      <c r="E362" s="1">
        <v>29</v>
      </c>
      <c r="F362" s="1" t="s">
        <v>20</v>
      </c>
      <c r="G362" s="1" t="s">
        <v>21</v>
      </c>
      <c r="H362" s="1" t="s">
        <v>79</v>
      </c>
      <c r="I362" s="1" t="s">
        <v>23</v>
      </c>
      <c r="J362" s="1">
        <v>7</v>
      </c>
      <c r="K362" s="27">
        <v>500</v>
      </c>
      <c r="L362" s="27">
        <v>0.15</v>
      </c>
      <c r="M362" s="1" t="s">
        <v>45</v>
      </c>
      <c r="N362" s="1" t="s">
        <v>32</v>
      </c>
      <c r="O362" t="str">
        <f t="shared" si="20"/>
        <v>Jan</v>
      </c>
      <c r="P362" t="str">
        <f t="shared" si="21"/>
        <v>2026</v>
      </c>
      <c r="Q362" s="25">
        <f t="shared" si="22"/>
        <v>550</v>
      </c>
      <c r="R362" s="29">
        <f t="shared" si="23"/>
        <v>3272.5</v>
      </c>
    </row>
    <row r="363" spans="1:18" x14ac:dyDescent="0.25">
      <c r="A363" s="5" t="s">
        <v>620</v>
      </c>
      <c r="B363" s="3" t="s">
        <v>314</v>
      </c>
      <c r="C363" s="1" t="s">
        <v>114</v>
      </c>
      <c r="D363" s="1" t="s">
        <v>19</v>
      </c>
      <c r="E363" s="1">
        <v>22</v>
      </c>
      <c r="F363" s="1" t="s">
        <v>20</v>
      </c>
      <c r="G363" s="1" t="s">
        <v>21</v>
      </c>
      <c r="H363" s="1" t="s">
        <v>49</v>
      </c>
      <c r="I363" s="1" t="s">
        <v>50</v>
      </c>
      <c r="J363" s="1">
        <v>9</v>
      </c>
      <c r="K363" s="27">
        <v>120</v>
      </c>
      <c r="L363" s="27">
        <v>0</v>
      </c>
      <c r="M363" s="1" t="s">
        <v>39</v>
      </c>
      <c r="N363" s="1" t="s">
        <v>25</v>
      </c>
      <c r="O363" t="str">
        <f t="shared" si="20"/>
        <v>Feb</v>
      </c>
      <c r="P363" t="str">
        <f t="shared" si="21"/>
        <v>2026</v>
      </c>
      <c r="Q363" s="25">
        <f t="shared" si="22"/>
        <v>170</v>
      </c>
      <c r="R363" s="29">
        <f t="shared" si="23"/>
        <v>1530</v>
      </c>
    </row>
    <row r="364" spans="1:18" x14ac:dyDescent="0.25">
      <c r="A364" s="5" t="s">
        <v>621</v>
      </c>
      <c r="B364" s="3" t="s">
        <v>307</v>
      </c>
      <c r="C364" s="1" t="s">
        <v>35</v>
      </c>
      <c r="D364" s="1" t="s">
        <v>19</v>
      </c>
      <c r="E364" s="1">
        <v>30</v>
      </c>
      <c r="F364" s="1" t="s">
        <v>37</v>
      </c>
      <c r="G364" s="1" t="s">
        <v>38</v>
      </c>
      <c r="H364" s="1" t="s">
        <v>68</v>
      </c>
      <c r="I364" s="1" t="s">
        <v>69</v>
      </c>
      <c r="J364" s="1">
        <v>9</v>
      </c>
      <c r="K364" s="27">
        <v>2</v>
      </c>
      <c r="L364" s="27">
        <v>0.05</v>
      </c>
      <c r="M364" s="1" t="s">
        <v>45</v>
      </c>
      <c r="N364" s="1" t="s">
        <v>51</v>
      </c>
      <c r="O364" t="str">
        <f t="shared" si="20"/>
        <v>May</v>
      </c>
      <c r="P364" t="str">
        <f t="shared" si="21"/>
        <v>2026</v>
      </c>
      <c r="Q364" s="25">
        <f t="shared" si="22"/>
        <v>52</v>
      </c>
      <c r="R364" s="29">
        <f t="shared" si="23"/>
        <v>444.59999999999997</v>
      </c>
    </row>
    <row r="365" spans="1:18" x14ac:dyDescent="0.25">
      <c r="A365" s="5" t="s">
        <v>622</v>
      </c>
      <c r="B365" s="3" t="s">
        <v>623</v>
      </c>
      <c r="C365" s="1" t="s">
        <v>182</v>
      </c>
      <c r="D365" s="1" t="s">
        <v>19</v>
      </c>
      <c r="E365" s="1">
        <v>30</v>
      </c>
      <c r="F365" s="1" t="s">
        <v>20</v>
      </c>
      <c r="G365" s="1" t="s">
        <v>21</v>
      </c>
      <c r="H365" s="1" t="s">
        <v>73</v>
      </c>
      <c r="I365" s="1" t="s">
        <v>69</v>
      </c>
      <c r="J365" s="1">
        <v>1</v>
      </c>
      <c r="K365" s="27">
        <v>5</v>
      </c>
      <c r="L365" s="27">
        <v>0</v>
      </c>
      <c r="M365" s="1" t="s">
        <v>39</v>
      </c>
      <c r="N365" s="1" t="s">
        <v>32</v>
      </c>
      <c r="O365" t="str">
        <f t="shared" si="20"/>
        <v>May</v>
      </c>
      <c r="P365" t="str">
        <f t="shared" si="21"/>
        <v>2026</v>
      </c>
      <c r="Q365" s="25">
        <f t="shared" si="22"/>
        <v>55</v>
      </c>
      <c r="R365" s="29">
        <f t="shared" si="23"/>
        <v>55</v>
      </c>
    </row>
    <row r="366" spans="1:18" x14ac:dyDescent="0.25">
      <c r="A366" s="5" t="s">
        <v>624</v>
      </c>
      <c r="B366" s="3" t="s">
        <v>113</v>
      </c>
      <c r="C366" s="1" t="s">
        <v>182</v>
      </c>
      <c r="D366" s="1" t="s">
        <v>36</v>
      </c>
      <c r="E366" s="1">
        <v>18</v>
      </c>
      <c r="F366" s="1" t="s">
        <v>29</v>
      </c>
      <c r="G366" s="1" t="s">
        <v>30</v>
      </c>
      <c r="H366" s="1" t="s">
        <v>118</v>
      </c>
      <c r="I366" s="1" t="s">
        <v>23</v>
      </c>
      <c r="J366" s="1">
        <v>6</v>
      </c>
      <c r="K366" s="27">
        <v>180</v>
      </c>
      <c r="L366" s="27">
        <v>0</v>
      </c>
      <c r="M366" s="1" t="s">
        <v>31</v>
      </c>
      <c r="N366" s="1" t="s">
        <v>32</v>
      </c>
      <c r="O366" t="str">
        <f t="shared" si="20"/>
        <v>Jun</v>
      </c>
      <c r="P366" t="str">
        <f t="shared" si="21"/>
        <v>2026</v>
      </c>
      <c r="Q366" s="25">
        <f t="shared" si="22"/>
        <v>230</v>
      </c>
      <c r="R366" s="29">
        <f t="shared" si="23"/>
        <v>1380</v>
      </c>
    </row>
    <row r="367" spans="1:18" x14ac:dyDescent="0.25">
      <c r="A367" s="5" t="s">
        <v>625</v>
      </c>
      <c r="B367" s="3" t="s">
        <v>170</v>
      </c>
      <c r="C367" s="1" t="s">
        <v>268</v>
      </c>
      <c r="D367" s="1" t="s">
        <v>36</v>
      </c>
      <c r="E367" s="1">
        <v>37</v>
      </c>
      <c r="F367" s="1" t="s">
        <v>29</v>
      </c>
      <c r="G367" s="1" t="s">
        <v>30</v>
      </c>
      <c r="H367" s="1" t="s">
        <v>118</v>
      </c>
      <c r="I367" s="1" t="s">
        <v>23</v>
      </c>
      <c r="J367" s="1">
        <v>7</v>
      </c>
      <c r="K367" s="27">
        <v>180</v>
      </c>
      <c r="L367" s="27">
        <v>0.05</v>
      </c>
      <c r="M367" s="1" t="s">
        <v>45</v>
      </c>
      <c r="N367" s="1" t="s">
        <v>25</v>
      </c>
      <c r="O367" t="str">
        <f t="shared" si="20"/>
        <v>May</v>
      </c>
      <c r="P367" t="str">
        <f t="shared" si="21"/>
        <v>2026</v>
      </c>
      <c r="Q367" s="25">
        <f t="shared" si="22"/>
        <v>230</v>
      </c>
      <c r="R367" s="29">
        <f t="shared" si="23"/>
        <v>1529.5</v>
      </c>
    </row>
    <row r="368" spans="1:18" x14ac:dyDescent="0.25">
      <c r="A368" s="5" t="s">
        <v>626</v>
      </c>
      <c r="B368" s="3" t="s">
        <v>354</v>
      </c>
      <c r="C368" s="1" t="s">
        <v>123</v>
      </c>
      <c r="D368" s="1" t="s">
        <v>36</v>
      </c>
      <c r="E368" s="1">
        <v>37</v>
      </c>
      <c r="F368" s="1" t="s">
        <v>43</v>
      </c>
      <c r="G368" s="1" t="s">
        <v>44</v>
      </c>
      <c r="H368" s="1" t="s">
        <v>22</v>
      </c>
      <c r="I368" s="1" t="s">
        <v>23</v>
      </c>
      <c r="J368" s="1">
        <v>5</v>
      </c>
      <c r="K368" s="27">
        <v>850</v>
      </c>
      <c r="L368" s="27">
        <v>0.05</v>
      </c>
      <c r="M368" s="1" t="s">
        <v>45</v>
      </c>
      <c r="N368" s="1" t="s">
        <v>51</v>
      </c>
      <c r="O368" t="str">
        <f t="shared" si="20"/>
        <v>Apr</v>
      </c>
      <c r="P368" t="str">
        <f t="shared" si="21"/>
        <v>2026</v>
      </c>
      <c r="Q368" s="25">
        <f t="shared" si="22"/>
        <v>900</v>
      </c>
      <c r="R368" s="29">
        <f t="shared" si="23"/>
        <v>4275</v>
      </c>
    </row>
    <row r="369" spans="1:18" x14ac:dyDescent="0.25">
      <c r="A369" s="5" t="s">
        <v>627</v>
      </c>
      <c r="B369" s="3" t="s">
        <v>235</v>
      </c>
      <c r="C369" s="1" t="s">
        <v>251</v>
      </c>
      <c r="D369" s="1" t="s">
        <v>19</v>
      </c>
      <c r="E369" s="1">
        <v>19</v>
      </c>
      <c r="F369" s="1" t="s">
        <v>37</v>
      </c>
      <c r="G369" s="1" t="s">
        <v>38</v>
      </c>
      <c r="H369" s="1" t="s">
        <v>79</v>
      </c>
      <c r="I369" s="1" t="s">
        <v>23</v>
      </c>
      <c r="J369" s="1">
        <v>10</v>
      </c>
      <c r="K369" s="27">
        <v>500</v>
      </c>
      <c r="L369" s="27">
        <v>0.15</v>
      </c>
      <c r="M369" s="1" t="s">
        <v>93</v>
      </c>
      <c r="N369" s="1" t="s">
        <v>51</v>
      </c>
      <c r="O369" t="str">
        <f t="shared" si="20"/>
        <v>May</v>
      </c>
      <c r="P369" t="str">
        <f t="shared" si="21"/>
        <v>2026</v>
      </c>
      <c r="Q369" s="25">
        <f t="shared" si="22"/>
        <v>550</v>
      </c>
      <c r="R369" s="29">
        <f t="shared" si="23"/>
        <v>4675</v>
      </c>
    </row>
    <row r="370" spans="1:18" x14ac:dyDescent="0.25">
      <c r="A370" s="5" t="s">
        <v>628</v>
      </c>
      <c r="B370" s="3" t="s">
        <v>151</v>
      </c>
      <c r="C370" s="1" t="s">
        <v>42</v>
      </c>
      <c r="D370" s="1" t="s">
        <v>19</v>
      </c>
      <c r="E370" s="1">
        <v>21</v>
      </c>
      <c r="F370" s="1" t="s">
        <v>43</v>
      </c>
      <c r="G370" s="1" t="s">
        <v>44</v>
      </c>
      <c r="H370" s="1" t="s">
        <v>79</v>
      </c>
      <c r="I370" s="1" t="s">
        <v>23</v>
      </c>
      <c r="J370" s="1">
        <v>5</v>
      </c>
      <c r="K370" s="27">
        <v>500</v>
      </c>
      <c r="L370" s="27">
        <v>0.15</v>
      </c>
      <c r="M370" s="1" t="s">
        <v>39</v>
      </c>
      <c r="N370" s="1" t="s">
        <v>51</v>
      </c>
      <c r="O370" t="str">
        <f t="shared" si="20"/>
        <v>Jan</v>
      </c>
      <c r="P370" t="str">
        <f t="shared" si="21"/>
        <v>2026</v>
      </c>
      <c r="Q370" s="25">
        <f t="shared" si="22"/>
        <v>550</v>
      </c>
      <c r="R370" s="29">
        <f t="shared" si="23"/>
        <v>2337.5</v>
      </c>
    </row>
    <row r="371" spans="1:18" x14ac:dyDescent="0.25">
      <c r="A371" s="5" t="s">
        <v>629</v>
      </c>
      <c r="B371" s="3" t="s">
        <v>77</v>
      </c>
      <c r="C371" s="1" t="s">
        <v>82</v>
      </c>
      <c r="D371" s="1" t="s">
        <v>36</v>
      </c>
      <c r="E371" s="1">
        <v>40</v>
      </c>
      <c r="F371" s="1" t="s">
        <v>29</v>
      </c>
      <c r="G371" s="1" t="s">
        <v>30</v>
      </c>
      <c r="H371" s="1" t="s">
        <v>73</v>
      </c>
      <c r="I371" s="1" t="s">
        <v>69</v>
      </c>
      <c r="J371" s="1">
        <v>1</v>
      </c>
      <c r="K371" s="27">
        <v>5</v>
      </c>
      <c r="L371" s="27">
        <v>0</v>
      </c>
      <c r="M371" s="1" t="s">
        <v>24</v>
      </c>
      <c r="N371" s="1" t="s">
        <v>55</v>
      </c>
      <c r="O371" t="str">
        <f t="shared" si="20"/>
        <v>Mar</v>
      </c>
      <c r="P371" t="str">
        <f t="shared" si="21"/>
        <v>2026</v>
      </c>
      <c r="Q371" s="25">
        <f t="shared" si="22"/>
        <v>55</v>
      </c>
      <c r="R371" s="29">
        <f t="shared" si="23"/>
        <v>55</v>
      </c>
    </row>
    <row r="372" spans="1:18" x14ac:dyDescent="0.25">
      <c r="A372" s="5" t="s">
        <v>630</v>
      </c>
      <c r="B372" s="3" t="s">
        <v>344</v>
      </c>
      <c r="C372" s="1" t="s">
        <v>72</v>
      </c>
      <c r="D372" s="1" t="s">
        <v>36</v>
      </c>
      <c r="E372" s="1">
        <v>20</v>
      </c>
      <c r="F372" s="1" t="s">
        <v>88</v>
      </c>
      <c r="G372" s="1" t="s">
        <v>89</v>
      </c>
      <c r="H372" s="1" t="s">
        <v>68</v>
      </c>
      <c r="I372" s="1" t="s">
        <v>69</v>
      </c>
      <c r="J372" s="1">
        <v>7</v>
      </c>
      <c r="K372" s="27">
        <v>2</v>
      </c>
      <c r="L372" s="27">
        <v>0</v>
      </c>
      <c r="M372" s="1" t="s">
        <v>58</v>
      </c>
      <c r="N372" s="1" t="s">
        <v>32</v>
      </c>
      <c r="O372" t="str">
        <f t="shared" si="20"/>
        <v>Mar</v>
      </c>
      <c r="P372" t="str">
        <f t="shared" si="21"/>
        <v>2026</v>
      </c>
      <c r="Q372" s="25">
        <f t="shared" si="22"/>
        <v>52</v>
      </c>
      <c r="R372" s="29">
        <f t="shared" si="23"/>
        <v>364</v>
      </c>
    </row>
    <row r="373" spans="1:18" x14ac:dyDescent="0.25">
      <c r="A373" s="5" t="s">
        <v>631</v>
      </c>
      <c r="B373" s="3" t="s">
        <v>579</v>
      </c>
      <c r="C373" s="1" t="s">
        <v>82</v>
      </c>
      <c r="D373" s="1" t="s">
        <v>19</v>
      </c>
      <c r="E373" s="1">
        <v>30</v>
      </c>
      <c r="F373" s="1" t="s">
        <v>43</v>
      </c>
      <c r="G373" s="1" t="s">
        <v>44</v>
      </c>
      <c r="H373" s="1" t="s">
        <v>79</v>
      </c>
      <c r="I373" s="1" t="s">
        <v>23</v>
      </c>
      <c r="J373" s="1">
        <v>3</v>
      </c>
      <c r="K373" s="27">
        <v>500</v>
      </c>
      <c r="L373" s="27">
        <v>0</v>
      </c>
      <c r="M373" s="1" t="s">
        <v>45</v>
      </c>
      <c r="N373" s="1" t="s">
        <v>25</v>
      </c>
      <c r="O373" t="str">
        <f t="shared" si="20"/>
        <v>Jun</v>
      </c>
      <c r="P373" t="str">
        <f t="shared" si="21"/>
        <v>2026</v>
      </c>
      <c r="Q373" s="25">
        <f t="shared" si="22"/>
        <v>550</v>
      </c>
      <c r="R373" s="29">
        <f t="shared" si="23"/>
        <v>1650</v>
      </c>
    </row>
    <row r="374" spans="1:18" x14ac:dyDescent="0.25">
      <c r="A374" s="5" t="s">
        <v>632</v>
      </c>
      <c r="B374" s="3" t="s">
        <v>373</v>
      </c>
      <c r="C374" s="1" t="s">
        <v>126</v>
      </c>
      <c r="D374" s="1" t="s">
        <v>19</v>
      </c>
      <c r="E374" s="1">
        <v>31</v>
      </c>
      <c r="F374" s="1" t="s">
        <v>29</v>
      </c>
      <c r="G374" s="1" t="s">
        <v>30</v>
      </c>
      <c r="H374" s="1" t="s">
        <v>79</v>
      </c>
      <c r="I374" s="1" t="s">
        <v>23</v>
      </c>
      <c r="J374" s="1">
        <v>10</v>
      </c>
      <c r="K374" s="27">
        <v>500</v>
      </c>
      <c r="L374" s="27">
        <v>0</v>
      </c>
      <c r="M374" s="1" t="s">
        <v>58</v>
      </c>
      <c r="N374" s="1" t="s">
        <v>55</v>
      </c>
      <c r="O374" t="str">
        <f t="shared" si="20"/>
        <v>Mar</v>
      </c>
      <c r="P374" t="str">
        <f t="shared" si="21"/>
        <v>2026</v>
      </c>
      <c r="Q374" s="25">
        <f t="shared" si="22"/>
        <v>550</v>
      </c>
      <c r="R374" s="29">
        <f t="shared" si="23"/>
        <v>5500</v>
      </c>
    </row>
    <row r="375" spans="1:18" x14ac:dyDescent="0.25">
      <c r="A375" s="5" t="s">
        <v>633</v>
      </c>
      <c r="B375" s="3" t="s">
        <v>365</v>
      </c>
      <c r="C375" s="1" t="s">
        <v>136</v>
      </c>
      <c r="D375" s="1" t="s">
        <v>36</v>
      </c>
      <c r="E375" s="1">
        <v>39</v>
      </c>
      <c r="F375" s="1" t="s">
        <v>37</v>
      </c>
      <c r="G375" s="1" t="s">
        <v>38</v>
      </c>
      <c r="H375" s="1" t="s">
        <v>62</v>
      </c>
      <c r="I375" s="1" t="s">
        <v>23</v>
      </c>
      <c r="J375" s="1">
        <v>3</v>
      </c>
      <c r="K375" s="27">
        <v>15</v>
      </c>
      <c r="L375" s="27">
        <v>0.05</v>
      </c>
      <c r="M375" s="1" t="s">
        <v>93</v>
      </c>
      <c r="N375" s="1" t="s">
        <v>51</v>
      </c>
      <c r="O375" t="str">
        <f t="shared" si="20"/>
        <v>Mar</v>
      </c>
      <c r="P375" t="str">
        <f t="shared" si="21"/>
        <v>2026</v>
      </c>
      <c r="Q375" s="25">
        <f t="shared" si="22"/>
        <v>65</v>
      </c>
      <c r="R375" s="29">
        <f t="shared" si="23"/>
        <v>185.25</v>
      </c>
    </row>
    <row r="376" spans="1:18" x14ac:dyDescent="0.25">
      <c r="A376" s="5" t="s">
        <v>634</v>
      </c>
      <c r="B376" s="3" t="s">
        <v>157</v>
      </c>
      <c r="C376" s="1" t="s">
        <v>123</v>
      </c>
      <c r="D376" s="1" t="s">
        <v>19</v>
      </c>
      <c r="E376" s="1">
        <v>18</v>
      </c>
      <c r="F376" s="1" t="s">
        <v>29</v>
      </c>
      <c r="G376" s="1" t="s">
        <v>30</v>
      </c>
      <c r="H376" s="1" t="s">
        <v>68</v>
      </c>
      <c r="I376" s="1" t="s">
        <v>69</v>
      </c>
      <c r="J376" s="1">
        <v>5</v>
      </c>
      <c r="K376" s="27">
        <v>2</v>
      </c>
      <c r="L376" s="27">
        <v>0.1</v>
      </c>
      <c r="M376" s="1" t="s">
        <v>93</v>
      </c>
      <c r="N376" s="1" t="s">
        <v>32</v>
      </c>
      <c r="O376" t="str">
        <f t="shared" si="20"/>
        <v>Feb</v>
      </c>
      <c r="P376" t="str">
        <f t="shared" si="21"/>
        <v>2026</v>
      </c>
      <c r="Q376" s="25">
        <f t="shared" si="22"/>
        <v>52</v>
      </c>
      <c r="R376" s="29">
        <f t="shared" si="23"/>
        <v>234</v>
      </c>
    </row>
    <row r="377" spans="1:18" x14ac:dyDescent="0.25">
      <c r="A377" s="5" t="s">
        <v>635</v>
      </c>
      <c r="B377" s="3" t="s">
        <v>375</v>
      </c>
      <c r="C377" s="1" t="s">
        <v>223</v>
      </c>
      <c r="D377" s="1" t="s">
        <v>36</v>
      </c>
      <c r="E377" s="1">
        <v>29</v>
      </c>
      <c r="F377" s="1" t="s">
        <v>88</v>
      </c>
      <c r="G377" s="1" t="s">
        <v>89</v>
      </c>
      <c r="H377" s="1" t="s">
        <v>118</v>
      </c>
      <c r="I377" s="1" t="s">
        <v>23</v>
      </c>
      <c r="J377" s="1">
        <v>8</v>
      </c>
      <c r="K377" s="27">
        <v>180</v>
      </c>
      <c r="L377" s="27">
        <v>0</v>
      </c>
      <c r="M377" s="1" t="s">
        <v>24</v>
      </c>
      <c r="N377" s="1" t="s">
        <v>25</v>
      </c>
      <c r="O377" t="str">
        <f t="shared" si="20"/>
        <v>Apr</v>
      </c>
      <c r="P377" t="str">
        <f t="shared" si="21"/>
        <v>2026</v>
      </c>
      <c r="Q377" s="25">
        <f t="shared" si="22"/>
        <v>230</v>
      </c>
      <c r="R377" s="29">
        <f t="shared" si="23"/>
        <v>1840</v>
      </c>
    </row>
    <row r="378" spans="1:18" x14ac:dyDescent="0.25">
      <c r="A378" s="5" t="s">
        <v>636</v>
      </c>
      <c r="B378" s="3" t="s">
        <v>637</v>
      </c>
      <c r="C378" s="1" t="s">
        <v>78</v>
      </c>
      <c r="D378" s="1" t="s">
        <v>36</v>
      </c>
      <c r="E378" s="1">
        <v>18</v>
      </c>
      <c r="F378" s="1" t="s">
        <v>43</v>
      </c>
      <c r="G378" s="1" t="s">
        <v>44</v>
      </c>
      <c r="H378" s="1" t="s">
        <v>62</v>
      </c>
      <c r="I378" s="1" t="s">
        <v>23</v>
      </c>
      <c r="J378" s="1">
        <v>9</v>
      </c>
      <c r="K378" s="27">
        <v>15</v>
      </c>
      <c r="L378" s="27">
        <v>0.05</v>
      </c>
      <c r="M378" s="1" t="s">
        <v>45</v>
      </c>
      <c r="N378" s="1" t="s">
        <v>55</v>
      </c>
      <c r="O378" t="str">
        <f t="shared" si="20"/>
        <v>Jan</v>
      </c>
      <c r="P378" t="str">
        <f t="shared" si="21"/>
        <v>2026</v>
      </c>
      <c r="Q378" s="25">
        <f t="shared" si="22"/>
        <v>65</v>
      </c>
      <c r="R378" s="29">
        <f t="shared" si="23"/>
        <v>555.75</v>
      </c>
    </row>
    <row r="379" spans="1:18" x14ac:dyDescent="0.25">
      <c r="A379" s="5" t="s">
        <v>638</v>
      </c>
      <c r="B379" s="3" t="s">
        <v>328</v>
      </c>
      <c r="C379" s="1" t="s">
        <v>18</v>
      </c>
      <c r="D379" s="1" t="s">
        <v>36</v>
      </c>
      <c r="E379" s="1">
        <v>52</v>
      </c>
      <c r="F379" s="1" t="s">
        <v>88</v>
      </c>
      <c r="G379" s="1" t="s">
        <v>89</v>
      </c>
      <c r="H379" s="1" t="s">
        <v>68</v>
      </c>
      <c r="I379" s="1" t="s">
        <v>69</v>
      </c>
      <c r="J379" s="1">
        <v>6</v>
      </c>
      <c r="K379" s="27">
        <v>2</v>
      </c>
      <c r="L379" s="27">
        <v>0.05</v>
      </c>
      <c r="M379" s="1" t="s">
        <v>31</v>
      </c>
      <c r="N379" s="1" t="s">
        <v>55</v>
      </c>
      <c r="O379" t="str">
        <f t="shared" si="20"/>
        <v>May</v>
      </c>
      <c r="P379" t="str">
        <f t="shared" si="21"/>
        <v>2026</v>
      </c>
      <c r="Q379" s="25">
        <f t="shared" si="22"/>
        <v>52</v>
      </c>
      <c r="R379" s="29">
        <f t="shared" si="23"/>
        <v>296.39999999999998</v>
      </c>
    </row>
    <row r="380" spans="1:18" x14ac:dyDescent="0.25">
      <c r="A380" s="5" t="s">
        <v>639</v>
      </c>
      <c r="B380" s="3" t="s">
        <v>288</v>
      </c>
      <c r="C380" s="1" t="s">
        <v>188</v>
      </c>
      <c r="D380" s="1" t="s">
        <v>19</v>
      </c>
      <c r="E380" s="1">
        <v>44</v>
      </c>
      <c r="F380" s="1" t="s">
        <v>43</v>
      </c>
      <c r="G380" s="1" t="s">
        <v>44</v>
      </c>
      <c r="H380" s="1" t="s">
        <v>118</v>
      </c>
      <c r="I380" s="1" t="s">
        <v>23</v>
      </c>
      <c r="J380" s="1">
        <v>3</v>
      </c>
      <c r="K380" s="27">
        <v>180</v>
      </c>
      <c r="L380" s="27">
        <v>0.15</v>
      </c>
      <c r="M380" s="1" t="s">
        <v>24</v>
      </c>
      <c r="N380" s="1" t="s">
        <v>55</v>
      </c>
      <c r="O380" t="str">
        <f t="shared" si="20"/>
        <v>Feb</v>
      </c>
      <c r="P380" t="str">
        <f t="shared" si="21"/>
        <v>2026</v>
      </c>
      <c r="Q380" s="25">
        <f t="shared" si="22"/>
        <v>230</v>
      </c>
      <c r="R380" s="29">
        <f t="shared" si="23"/>
        <v>586.5</v>
      </c>
    </row>
    <row r="381" spans="1:18" x14ac:dyDescent="0.25">
      <c r="A381" s="5" t="s">
        <v>640</v>
      </c>
      <c r="B381" s="3" t="s">
        <v>641</v>
      </c>
      <c r="C381" s="1" t="s">
        <v>145</v>
      </c>
      <c r="D381" s="1" t="s">
        <v>36</v>
      </c>
      <c r="E381" s="1">
        <v>59</v>
      </c>
      <c r="F381" s="1" t="s">
        <v>20</v>
      </c>
      <c r="G381" s="1" t="s">
        <v>21</v>
      </c>
      <c r="H381" s="1" t="s">
        <v>118</v>
      </c>
      <c r="I381" s="1" t="s">
        <v>23</v>
      </c>
      <c r="J381" s="1">
        <v>8</v>
      </c>
      <c r="K381" s="27">
        <v>180</v>
      </c>
      <c r="L381" s="27">
        <v>0.15</v>
      </c>
      <c r="M381" s="1" t="s">
        <v>31</v>
      </c>
      <c r="N381" s="1" t="s">
        <v>51</v>
      </c>
      <c r="O381" t="str">
        <f t="shared" si="20"/>
        <v>Apr</v>
      </c>
      <c r="P381" t="str">
        <f t="shared" si="21"/>
        <v>2026</v>
      </c>
      <c r="Q381" s="25">
        <f t="shared" si="22"/>
        <v>230</v>
      </c>
      <c r="R381" s="29">
        <f t="shared" si="23"/>
        <v>1564</v>
      </c>
    </row>
    <row r="382" spans="1:18" x14ac:dyDescent="0.25">
      <c r="A382" s="5" t="s">
        <v>642</v>
      </c>
      <c r="B382" s="3" t="s">
        <v>291</v>
      </c>
      <c r="C382" s="1" t="s">
        <v>223</v>
      </c>
      <c r="D382" s="1" t="s">
        <v>36</v>
      </c>
      <c r="E382" s="1">
        <v>50</v>
      </c>
      <c r="F382" s="1" t="s">
        <v>88</v>
      </c>
      <c r="G382" s="1" t="s">
        <v>89</v>
      </c>
      <c r="H382" s="1" t="s">
        <v>73</v>
      </c>
      <c r="I382" s="1" t="s">
        <v>69</v>
      </c>
      <c r="J382" s="1">
        <v>8</v>
      </c>
      <c r="K382" s="27">
        <v>5</v>
      </c>
      <c r="L382" s="27">
        <v>0.1</v>
      </c>
      <c r="M382" s="1" t="s">
        <v>45</v>
      </c>
      <c r="N382" s="1" t="s">
        <v>32</v>
      </c>
      <c r="O382" t="str">
        <f t="shared" si="20"/>
        <v>Feb</v>
      </c>
      <c r="P382" t="str">
        <f t="shared" si="21"/>
        <v>2026</v>
      </c>
      <c r="Q382" s="25">
        <f t="shared" si="22"/>
        <v>55</v>
      </c>
      <c r="R382" s="29">
        <f t="shared" si="23"/>
        <v>396</v>
      </c>
    </row>
    <row r="383" spans="1:18" x14ac:dyDescent="0.25">
      <c r="A383" s="5" t="s">
        <v>643</v>
      </c>
      <c r="B383" s="3" t="s">
        <v>242</v>
      </c>
      <c r="C383" s="1" t="s">
        <v>152</v>
      </c>
      <c r="D383" s="1" t="s">
        <v>19</v>
      </c>
      <c r="E383" s="1">
        <v>39</v>
      </c>
      <c r="F383" s="1" t="s">
        <v>88</v>
      </c>
      <c r="G383" s="1" t="s">
        <v>89</v>
      </c>
      <c r="H383" s="1" t="s">
        <v>118</v>
      </c>
      <c r="I383" s="1" t="s">
        <v>23</v>
      </c>
      <c r="J383" s="1">
        <v>10</v>
      </c>
      <c r="K383" s="27">
        <v>180</v>
      </c>
      <c r="L383" s="27">
        <v>0.1</v>
      </c>
      <c r="M383" s="1" t="s">
        <v>31</v>
      </c>
      <c r="N383" s="1" t="s">
        <v>25</v>
      </c>
      <c r="O383" t="str">
        <f t="shared" si="20"/>
        <v>Jan</v>
      </c>
      <c r="P383" t="str">
        <f t="shared" si="21"/>
        <v>2026</v>
      </c>
      <c r="Q383" s="25">
        <f t="shared" si="22"/>
        <v>230</v>
      </c>
      <c r="R383" s="29">
        <f t="shared" si="23"/>
        <v>2070</v>
      </c>
    </row>
    <row r="384" spans="1:18" x14ac:dyDescent="0.25">
      <c r="A384" s="5" t="s">
        <v>644</v>
      </c>
      <c r="B384" s="3" t="s">
        <v>385</v>
      </c>
      <c r="C384" s="1" t="s">
        <v>145</v>
      </c>
      <c r="D384" s="1" t="s">
        <v>36</v>
      </c>
      <c r="E384" s="1">
        <v>34</v>
      </c>
      <c r="F384" s="1" t="s">
        <v>37</v>
      </c>
      <c r="G384" s="1" t="s">
        <v>38</v>
      </c>
      <c r="H384" s="1" t="s">
        <v>22</v>
      </c>
      <c r="I384" s="1" t="s">
        <v>23</v>
      </c>
      <c r="J384" s="1">
        <v>9</v>
      </c>
      <c r="K384" s="27">
        <v>850</v>
      </c>
      <c r="L384" s="27">
        <v>0.05</v>
      </c>
      <c r="M384" s="1" t="s">
        <v>58</v>
      </c>
      <c r="N384" s="1" t="s">
        <v>25</v>
      </c>
      <c r="O384" t="str">
        <f t="shared" si="20"/>
        <v>Feb</v>
      </c>
      <c r="P384" t="str">
        <f t="shared" si="21"/>
        <v>2026</v>
      </c>
      <c r="Q384" s="25">
        <f t="shared" si="22"/>
        <v>900</v>
      </c>
      <c r="R384" s="29">
        <f t="shared" si="23"/>
        <v>7695</v>
      </c>
    </row>
    <row r="385" spans="1:18" x14ac:dyDescent="0.25">
      <c r="A385" s="5" t="s">
        <v>645</v>
      </c>
      <c r="B385" s="3" t="s">
        <v>299</v>
      </c>
      <c r="C385" s="1" t="s">
        <v>165</v>
      </c>
      <c r="D385" s="1" t="s">
        <v>36</v>
      </c>
      <c r="E385" s="1">
        <v>58</v>
      </c>
      <c r="F385" s="1" t="s">
        <v>37</v>
      </c>
      <c r="G385" s="1" t="s">
        <v>38</v>
      </c>
      <c r="H385" s="1" t="s">
        <v>68</v>
      </c>
      <c r="I385" s="1" t="s">
        <v>69</v>
      </c>
      <c r="J385" s="1">
        <v>5</v>
      </c>
      <c r="K385" s="27">
        <v>2</v>
      </c>
      <c r="L385" s="27">
        <v>0.05</v>
      </c>
      <c r="M385" s="1" t="s">
        <v>58</v>
      </c>
      <c r="N385" s="1" t="s">
        <v>32</v>
      </c>
      <c r="O385" t="str">
        <f t="shared" si="20"/>
        <v>Apr</v>
      </c>
      <c r="P385" t="str">
        <f t="shared" si="21"/>
        <v>2026</v>
      </c>
      <c r="Q385" s="25">
        <f t="shared" si="22"/>
        <v>52</v>
      </c>
      <c r="R385" s="29">
        <f t="shared" si="23"/>
        <v>247</v>
      </c>
    </row>
    <row r="386" spans="1:18" x14ac:dyDescent="0.25">
      <c r="A386" s="5" t="s">
        <v>646</v>
      </c>
      <c r="B386" s="3" t="s">
        <v>185</v>
      </c>
      <c r="C386" s="1" t="s">
        <v>152</v>
      </c>
      <c r="D386" s="1" t="s">
        <v>36</v>
      </c>
      <c r="E386" s="1">
        <v>58</v>
      </c>
      <c r="F386" s="1" t="s">
        <v>20</v>
      </c>
      <c r="G386" s="1" t="s">
        <v>21</v>
      </c>
      <c r="H386" s="1" t="s">
        <v>22</v>
      </c>
      <c r="I386" s="1" t="s">
        <v>23</v>
      </c>
      <c r="J386" s="1">
        <v>9</v>
      </c>
      <c r="K386" s="27">
        <v>850</v>
      </c>
      <c r="L386" s="27">
        <v>0.1</v>
      </c>
      <c r="M386" s="1" t="s">
        <v>93</v>
      </c>
      <c r="N386" s="1" t="s">
        <v>25</v>
      </c>
      <c r="O386" t="str">
        <f t="shared" ref="O386:O449" si="24">TEXT(B:B,"MMM")</f>
        <v>Feb</v>
      </c>
      <c r="P386" t="str">
        <f t="shared" ref="P386:P449" si="25">TEXT(B:B,"YYYY")</f>
        <v>2026</v>
      </c>
      <c r="Q386" s="25">
        <f t="shared" ref="Q386:Q449" si="26">K:K+50</f>
        <v>900</v>
      </c>
      <c r="R386" s="29">
        <f t="shared" si="23"/>
        <v>7290</v>
      </c>
    </row>
    <row r="387" spans="1:18" x14ac:dyDescent="0.25">
      <c r="A387" s="5" t="s">
        <v>647</v>
      </c>
      <c r="B387" s="3" t="s">
        <v>245</v>
      </c>
      <c r="C387" s="1" t="s">
        <v>243</v>
      </c>
      <c r="D387" s="1" t="s">
        <v>36</v>
      </c>
      <c r="E387" s="1">
        <v>44</v>
      </c>
      <c r="F387" s="1" t="s">
        <v>37</v>
      </c>
      <c r="G387" s="1" t="s">
        <v>38</v>
      </c>
      <c r="H387" s="1" t="s">
        <v>62</v>
      </c>
      <c r="I387" s="1" t="s">
        <v>23</v>
      </c>
      <c r="J387" s="1">
        <v>10</v>
      </c>
      <c r="K387" s="27">
        <v>15</v>
      </c>
      <c r="L387" s="27">
        <v>0.15</v>
      </c>
      <c r="M387" s="1" t="s">
        <v>39</v>
      </c>
      <c r="N387" s="1" t="s">
        <v>32</v>
      </c>
      <c r="O387" t="str">
        <f t="shared" si="24"/>
        <v>Feb</v>
      </c>
      <c r="P387" t="str">
        <f t="shared" si="25"/>
        <v>2026</v>
      </c>
      <c r="Q387" s="25">
        <f t="shared" si="26"/>
        <v>65</v>
      </c>
      <c r="R387" s="29">
        <f t="shared" ref="R387:R450" si="27">J:J*Q:Q*(1-L:L)</f>
        <v>552.5</v>
      </c>
    </row>
    <row r="388" spans="1:18" x14ac:dyDescent="0.25">
      <c r="A388" s="5" t="s">
        <v>648</v>
      </c>
      <c r="B388" s="3" t="s">
        <v>209</v>
      </c>
      <c r="C388" s="1" t="s">
        <v>42</v>
      </c>
      <c r="D388" s="1" t="s">
        <v>19</v>
      </c>
      <c r="E388" s="1">
        <v>41</v>
      </c>
      <c r="F388" s="1" t="s">
        <v>88</v>
      </c>
      <c r="G388" s="1" t="s">
        <v>89</v>
      </c>
      <c r="H388" s="1" t="s">
        <v>73</v>
      </c>
      <c r="I388" s="1" t="s">
        <v>69</v>
      </c>
      <c r="J388" s="1">
        <v>5</v>
      </c>
      <c r="K388" s="27">
        <v>5</v>
      </c>
      <c r="L388" s="27">
        <v>0.15</v>
      </c>
      <c r="M388" s="1" t="s">
        <v>24</v>
      </c>
      <c r="N388" s="1" t="s">
        <v>55</v>
      </c>
      <c r="O388" t="str">
        <f t="shared" si="24"/>
        <v>Apr</v>
      </c>
      <c r="P388" t="str">
        <f t="shared" si="25"/>
        <v>2026</v>
      </c>
      <c r="Q388" s="25">
        <f t="shared" si="26"/>
        <v>55</v>
      </c>
      <c r="R388" s="29">
        <f t="shared" si="27"/>
        <v>233.75</v>
      </c>
    </row>
    <row r="389" spans="1:18" x14ac:dyDescent="0.25">
      <c r="A389" s="5" t="s">
        <v>649</v>
      </c>
      <c r="B389" s="3" t="s">
        <v>650</v>
      </c>
      <c r="C389" s="1" t="s">
        <v>223</v>
      </c>
      <c r="D389" s="1" t="s">
        <v>19</v>
      </c>
      <c r="E389" s="1">
        <v>60</v>
      </c>
      <c r="F389" s="1" t="s">
        <v>29</v>
      </c>
      <c r="G389" s="1" t="s">
        <v>30</v>
      </c>
      <c r="H389" s="1" t="s">
        <v>62</v>
      </c>
      <c r="I389" s="1" t="s">
        <v>23</v>
      </c>
      <c r="J389" s="1">
        <v>1</v>
      </c>
      <c r="K389" s="27">
        <v>15</v>
      </c>
      <c r="L389" s="27">
        <v>0.1</v>
      </c>
      <c r="M389" s="1" t="s">
        <v>45</v>
      </c>
      <c r="N389" s="1" t="s">
        <v>32</v>
      </c>
      <c r="O389" t="str">
        <f t="shared" si="24"/>
        <v>Mar</v>
      </c>
      <c r="P389" t="str">
        <f t="shared" si="25"/>
        <v>2026</v>
      </c>
      <c r="Q389" s="25">
        <f t="shared" si="26"/>
        <v>65</v>
      </c>
      <c r="R389" s="29">
        <f t="shared" si="27"/>
        <v>58.5</v>
      </c>
    </row>
    <row r="390" spans="1:18" x14ac:dyDescent="0.25">
      <c r="A390" s="5" t="s">
        <v>651</v>
      </c>
      <c r="B390" s="3" t="s">
        <v>373</v>
      </c>
      <c r="C390" s="1" t="s">
        <v>123</v>
      </c>
      <c r="D390" s="1" t="s">
        <v>19</v>
      </c>
      <c r="E390" s="1">
        <v>39</v>
      </c>
      <c r="F390" s="1" t="s">
        <v>88</v>
      </c>
      <c r="G390" s="1" t="s">
        <v>89</v>
      </c>
      <c r="H390" s="1" t="s">
        <v>118</v>
      </c>
      <c r="I390" s="1" t="s">
        <v>23</v>
      </c>
      <c r="J390" s="1">
        <v>3</v>
      </c>
      <c r="K390" s="27">
        <v>180</v>
      </c>
      <c r="L390" s="27">
        <v>0.05</v>
      </c>
      <c r="M390" s="1" t="s">
        <v>39</v>
      </c>
      <c r="N390" s="1" t="s">
        <v>25</v>
      </c>
      <c r="O390" t="str">
        <f t="shared" si="24"/>
        <v>Mar</v>
      </c>
      <c r="P390" t="str">
        <f t="shared" si="25"/>
        <v>2026</v>
      </c>
      <c r="Q390" s="25">
        <f t="shared" si="26"/>
        <v>230</v>
      </c>
      <c r="R390" s="29">
        <f t="shared" si="27"/>
        <v>655.5</v>
      </c>
    </row>
    <row r="391" spans="1:18" x14ac:dyDescent="0.25">
      <c r="A391" s="5" t="s">
        <v>652</v>
      </c>
      <c r="B391" s="3" t="s">
        <v>349</v>
      </c>
      <c r="C391" s="1" t="s">
        <v>294</v>
      </c>
      <c r="D391" s="1" t="s">
        <v>19</v>
      </c>
      <c r="E391" s="1">
        <v>18</v>
      </c>
      <c r="F391" s="1" t="s">
        <v>43</v>
      </c>
      <c r="G391" s="1" t="s">
        <v>44</v>
      </c>
      <c r="H391" s="1" t="s">
        <v>62</v>
      </c>
      <c r="I391" s="1" t="s">
        <v>23</v>
      </c>
      <c r="J391" s="1">
        <v>3</v>
      </c>
      <c r="K391" s="27">
        <v>15</v>
      </c>
      <c r="L391" s="27">
        <v>0</v>
      </c>
      <c r="M391" s="1" t="s">
        <v>93</v>
      </c>
      <c r="N391" s="1" t="s">
        <v>32</v>
      </c>
      <c r="O391" t="str">
        <f t="shared" si="24"/>
        <v>May</v>
      </c>
      <c r="P391" t="str">
        <f t="shared" si="25"/>
        <v>2026</v>
      </c>
      <c r="Q391" s="25">
        <f t="shared" si="26"/>
        <v>65</v>
      </c>
      <c r="R391" s="29">
        <f t="shared" si="27"/>
        <v>195</v>
      </c>
    </row>
    <row r="392" spans="1:18" x14ac:dyDescent="0.25">
      <c r="A392" s="5" t="s">
        <v>653</v>
      </c>
      <c r="B392" s="3" t="s">
        <v>284</v>
      </c>
      <c r="C392" s="1" t="s">
        <v>155</v>
      </c>
      <c r="D392" s="1" t="s">
        <v>36</v>
      </c>
      <c r="E392" s="1">
        <v>44</v>
      </c>
      <c r="F392" s="1" t="s">
        <v>88</v>
      </c>
      <c r="G392" s="1" t="s">
        <v>89</v>
      </c>
      <c r="H392" s="1" t="s">
        <v>79</v>
      </c>
      <c r="I392" s="1" t="s">
        <v>23</v>
      </c>
      <c r="J392" s="1">
        <v>10</v>
      </c>
      <c r="K392" s="27">
        <v>500</v>
      </c>
      <c r="L392" s="27">
        <v>0.1</v>
      </c>
      <c r="M392" s="1" t="s">
        <v>39</v>
      </c>
      <c r="N392" s="1" t="s">
        <v>25</v>
      </c>
      <c r="O392" t="str">
        <f t="shared" si="24"/>
        <v>Feb</v>
      </c>
      <c r="P392" t="str">
        <f t="shared" si="25"/>
        <v>2026</v>
      </c>
      <c r="Q392" s="25">
        <f t="shared" si="26"/>
        <v>550</v>
      </c>
      <c r="R392" s="29">
        <f t="shared" si="27"/>
        <v>4950</v>
      </c>
    </row>
    <row r="393" spans="1:18" x14ac:dyDescent="0.25">
      <c r="A393" s="5" t="s">
        <v>654</v>
      </c>
      <c r="B393" s="3" t="s">
        <v>116</v>
      </c>
      <c r="C393" s="1" t="s">
        <v>136</v>
      </c>
      <c r="D393" s="1" t="s">
        <v>19</v>
      </c>
      <c r="E393" s="1">
        <v>36</v>
      </c>
      <c r="F393" s="1" t="s">
        <v>29</v>
      </c>
      <c r="G393" s="1" t="s">
        <v>30</v>
      </c>
      <c r="H393" s="1" t="s">
        <v>109</v>
      </c>
      <c r="I393" s="1" t="s">
        <v>50</v>
      </c>
      <c r="J393" s="1">
        <v>7</v>
      </c>
      <c r="K393" s="27">
        <v>80</v>
      </c>
      <c r="L393" s="27">
        <v>0.15</v>
      </c>
      <c r="M393" s="1" t="s">
        <v>93</v>
      </c>
      <c r="N393" s="1" t="s">
        <v>51</v>
      </c>
      <c r="O393" t="str">
        <f t="shared" si="24"/>
        <v>Apr</v>
      </c>
      <c r="P393" t="str">
        <f t="shared" si="25"/>
        <v>2026</v>
      </c>
      <c r="Q393" s="25">
        <f t="shared" si="26"/>
        <v>130</v>
      </c>
      <c r="R393" s="29">
        <f t="shared" si="27"/>
        <v>773.5</v>
      </c>
    </row>
    <row r="394" spans="1:18" x14ac:dyDescent="0.25">
      <c r="A394" s="5" t="s">
        <v>655</v>
      </c>
      <c r="B394" s="3" t="s">
        <v>461</v>
      </c>
      <c r="C394" s="1" t="s">
        <v>149</v>
      </c>
      <c r="D394" s="1" t="s">
        <v>36</v>
      </c>
      <c r="E394" s="1">
        <v>40</v>
      </c>
      <c r="F394" s="1" t="s">
        <v>43</v>
      </c>
      <c r="G394" s="1" t="s">
        <v>44</v>
      </c>
      <c r="H394" s="1" t="s">
        <v>22</v>
      </c>
      <c r="I394" s="1" t="s">
        <v>23</v>
      </c>
      <c r="J394" s="1">
        <v>7</v>
      </c>
      <c r="K394" s="27">
        <v>850</v>
      </c>
      <c r="L394" s="27">
        <v>0.15</v>
      </c>
      <c r="M394" s="1" t="s">
        <v>24</v>
      </c>
      <c r="N394" s="1" t="s">
        <v>25</v>
      </c>
      <c r="O394" t="str">
        <f t="shared" si="24"/>
        <v>Apr</v>
      </c>
      <c r="P394" t="str">
        <f t="shared" si="25"/>
        <v>2026</v>
      </c>
      <c r="Q394" s="25">
        <f t="shared" si="26"/>
        <v>900</v>
      </c>
      <c r="R394" s="29">
        <f t="shared" si="27"/>
        <v>5355</v>
      </c>
    </row>
    <row r="395" spans="1:18" x14ac:dyDescent="0.25">
      <c r="A395" s="5" t="s">
        <v>656</v>
      </c>
      <c r="B395" s="3" t="s">
        <v>623</v>
      </c>
      <c r="C395" s="1" t="s">
        <v>240</v>
      </c>
      <c r="D395" s="1" t="s">
        <v>36</v>
      </c>
      <c r="E395" s="1">
        <v>49</v>
      </c>
      <c r="F395" s="1" t="s">
        <v>29</v>
      </c>
      <c r="G395" s="1" t="s">
        <v>30</v>
      </c>
      <c r="H395" s="1" t="s">
        <v>68</v>
      </c>
      <c r="I395" s="1" t="s">
        <v>69</v>
      </c>
      <c r="J395" s="1">
        <v>7</v>
      </c>
      <c r="K395" s="27">
        <v>2</v>
      </c>
      <c r="L395" s="27">
        <v>0.05</v>
      </c>
      <c r="M395" s="1" t="s">
        <v>45</v>
      </c>
      <c r="N395" s="1" t="s">
        <v>55</v>
      </c>
      <c r="O395" t="str">
        <f t="shared" si="24"/>
        <v>May</v>
      </c>
      <c r="P395" t="str">
        <f t="shared" si="25"/>
        <v>2026</v>
      </c>
      <c r="Q395" s="25">
        <f t="shared" si="26"/>
        <v>52</v>
      </c>
      <c r="R395" s="29">
        <f t="shared" si="27"/>
        <v>345.8</v>
      </c>
    </row>
    <row r="396" spans="1:18" x14ac:dyDescent="0.25">
      <c r="A396" s="5" t="s">
        <v>657</v>
      </c>
      <c r="B396" s="3" t="s">
        <v>135</v>
      </c>
      <c r="C396" s="1" t="s">
        <v>82</v>
      </c>
      <c r="D396" s="1" t="s">
        <v>36</v>
      </c>
      <c r="E396" s="1">
        <v>38</v>
      </c>
      <c r="F396" s="1" t="s">
        <v>37</v>
      </c>
      <c r="G396" s="1" t="s">
        <v>38</v>
      </c>
      <c r="H396" s="1" t="s">
        <v>68</v>
      </c>
      <c r="I396" s="1" t="s">
        <v>69</v>
      </c>
      <c r="J396" s="1">
        <v>6</v>
      </c>
      <c r="K396" s="27">
        <v>2</v>
      </c>
      <c r="L396" s="27">
        <v>0.05</v>
      </c>
      <c r="M396" s="1" t="s">
        <v>93</v>
      </c>
      <c r="N396" s="1" t="s">
        <v>55</v>
      </c>
      <c r="O396" t="str">
        <f t="shared" si="24"/>
        <v>May</v>
      </c>
      <c r="P396" t="str">
        <f t="shared" si="25"/>
        <v>2026</v>
      </c>
      <c r="Q396" s="25">
        <f t="shared" si="26"/>
        <v>52</v>
      </c>
      <c r="R396" s="29">
        <f t="shared" si="27"/>
        <v>296.39999999999998</v>
      </c>
    </row>
    <row r="397" spans="1:18" x14ac:dyDescent="0.25">
      <c r="A397" s="5" t="s">
        <v>658</v>
      </c>
      <c r="B397" s="3" t="s">
        <v>47</v>
      </c>
      <c r="C397" s="1" t="s">
        <v>18</v>
      </c>
      <c r="D397" s="1" t="s">
        <v>36</v>
      </c>
      <c r="E397" s="1">
        <v>32</v>
      </c>
      <c r="F397" s="1" t="s">
        <v>29</v>
      </c>
      <c r="G397" s="1" t="s">
        <v>30</v>
      </c>
      <c r="H397" s="1" t="s">
        <v>73</v>
      </c>
      <c r="I397" s="1" t="s">
        <v>69</v>
      </c>
      <c r="J397" s="1">
        <v>10</v>
      </c>
      <c r="K397" s="27">
        <v>5</v>
      </c>
      <c r="L397" s="27">
        <v>0.15</v>
      </c>
      <c r="M397" s="1" t="s">
        <v>24</v>
      </c>
      <c r="N397" s="1" t="s">
        <v>32</v>
      </c>
      <c r="O397" t="str">
        <f t="shared" si="24"/>
        <v>Mar</v>
      </c>
      <c r="P397" t="str">
        <f t="shared" si="25"/>
        <v>2026</v>
      </c>
      <c r="Q397" s="25">
        <f t="shared" si="26"/>
        <v>55</v>
      </c>
      <c r="R397" s="29">
        <f t="shared" si="27"/>
        <v>467.5</v>
      </c>
    </row>
    <row r="398" spans="1:18" x14ac:dyDescent="0.25">
      <c r="A398" s="5" t="s">
        <v>659</v>
      </c>
      <c r="B398" s="3" t="s">
        <v>323</v>
      </c>
      <c r="C398" s="1" t="s">
        <v>268</v>
      </c>
      <c r="D398" s="1" t="s">
        <v>36</v>
      </c>
      <c r="E398" s="1">
        <v>52</v>
      </c>
      <c r="F398" s="1" t="s">
        <v>43</v>
      </c>
      <c r="G398" s="1" t="s">
        <v>44</v>
      </c>
      <c r="H398" s="1" t="s">
        <v>68</v>
      </c>
      <c r="I398" s="1" t="s">
        <v>69</v>
      </c>
      <c r="J398" s="1">
        <v>5</v>
      </c>
      <c r="K398" s="27">
        <v>2</v>
      </c>
      <c r="L398" s="27">
        <v>0.15</v>
      </c>
      <c r="M398" s="1" t="s">
        <v>93</v>
      </c>
      <c r="N398" s="1" t="s">
        <v>25</v>
      </c>
      <c r="O398" t="str">
        <f t="shared" si="24"/>
        <v>Jun</v>
      </c>
      <c r="P398" t="str">
        <f t="shared" si="25"/>
        <v>2026</v>
      </c>
      <c r="Q398" s="25">
        <f t="shared" si="26"/>
        <v>52</v>
      </c>
      <c r="R398" s="29">
        <f t="shared" si="27"/>
        <v>221</v>
      </c>
    </row>
    <row r="399" spans="1:18" x14ac:dyDescent="0.25">
      <c r="A399" s="5" t="s">
        <v>660</v>
      </c>
      <c r="B399" s="3" t="s">
        <v>167</v>
      </c>
      <c r="C399" s="1" t="s">
        <v>126</v>
      </c>
      <c r="D399" s="1" t="s">
        <v>36</v>
      </c>
      <c r="E399" s="1">
        <v>50</v>
      </c>
      <c r="F399" s="1" t="s">
        <v>29</v>
      </c>
      <c r="G399" s="1" t="s">
        <v>30</v>
      </c>
      <c r="H399" s="1" t="s">
        <v>49</v>
      </c>
      <c r="I399" s="1" t="s">
        <v>50</v>
      </c>
      <c r="J399" s="1">
        <v>7</v>
      </c>
      <c r="K399" s="27">
        <v>120</v>
      </c>
      <c r="L399" s="27">
        <v>0.05</v>
      </c>
      <c r="M399" s="1" t="s">
        <v>39</v>
      </c>
      <c r="N399" s="1" t="s">
        <v>51</v>
      </c>
      <c r="O399" t="str">
        <f t="shared" si="24"/>
        <v>Feb</v>
      </c>
      <c r="P399" t="str">
        <f t="shared" si="25"/>
        <v>2026</v>
      </c>
      <c r="Q399" s="25">
        <f t="shared" si="26"/>
        <v>170</v>
      </c>
      <c r="R399" s="29">
        <f t="shared" si="27"/>
        <v>1130.5</v>
      </c>
    </row>
    <row r="400" spans="1:18" x14ac:dyDescent="0.25">
      <c r="A400" s="5" t="s">
        <v>661</v>
      </c>
      <c r="B400" s="3" t="s">
        <v>383</v>
      </c>
      <c r="C400" s="1" t="s">
        <v>114</v>
      </c>
      <c r="D400" s="1" t="s">
        <v>36</v>
      </c>
      <c r="E400" s="1">
        <v>20</v>
      </c>
      <c r="F400" s="1" t="s">
        <v>37</v>
      </c>
      <c r="G400" s="1" t="s">
        <v>38</v>
      </c>
      <c r="H400" s="1" t="s">
        <v>49</v>
      </c>
      <c r="I400" s="1" t="s">
        <v>50</v>
      </c>
      <c r="J400" s="1">
        <v>4</v>
      </c>
      <c r="K400" s="27">
        <v>120</v>
      </c>
      <c r="L400" s="27">
        <v>0</v>
      </c>
      <c r="M400" s="1" t="s">
        <v>58</v>
      </c>
      <c r="N400" s="1" t="s">
        <v>55</v>
      </c>
      <c r="O400" t="str">
        <f t="shared" si="24"/>
        <v>Feb</v>
      </c>
      <c r="P400" t="str">
        <f t="shared" si="25"/>
        <v>2026</v>
      </c>
      <c r="Q400" s="25">
        <f t="shared" si="26"/>
        <v>170</v>
      </c>
      <c r="R400" s="29">
        <f t="shared" si="27"/>
        <v>680</v>
      </c>
    </row>
    <row r="401" spans="1:18" x14ac:dyDescent="0.25">
      <c r="A401" s="5" t="s">
        <v>662</v>
      </c>
      <c r="B401" s="3" t="s">
        <v>458</v>
      </c>
      <c r="C401" s="1" t="s">
        <v>294</v>
      </c>
      <c r="D401" s="1" t="s">
        <v>19</v>
      </c>
      <c r="E401" s="1">
        <v>46</v>
      </c>
      <c r="F401" s="1" t="s">
        <v>29</v>
      </c>
      <c r="G401" s="1" t="s">
        <v>30</v>
      </c>
      <c r="H401" s="1" t="s">
        <v>49</v>
      </c>
      <c r="I401" s="1" t="s">
        <v>50</v>
      </c>
      <c r="J401" s="1">
        <v>8</v>
      </c>
      <c r="K401" s="27">
        <v>120</v>
      </c>
      <c r="L401" s="27">
        <v>0</v>
      </c>
      <c r="M401" s="1" t="s">
        <v>93</v>
      </c>
      <c r="N401" s="1" t="s">
        <v>55</v>
      </c>
      <c r="O401" t="str">
        <f t="shared" si="24"/>
        <v>May</v>
      </c>
      <c r="P401" t="str">
        <f t="shared" si="25"/>
        <v>2026</v>
      </c>
      <c r="Q401" s="25">
        <f t="shared" si="26"/>
        <v>170</v>
      </c>
      <c r="R401" s="29">
        <f t="shared" si="27"/>
        <v>1360</v>
      </c>
    </row>
    <row r="402" spans="1:18" x14ac:dyDescent="0.25">
      <c r="A402" s="5" t="s">
        <v>663</v>
      </c>
      <c r="B402" s="3" t="s">
        <v>354</v>
      </c>
      <c r="C402" s="1" t="s">
        <v>117</v>
      </c>
      <c r="D402" s="1" t="s">
        <v>19</v>
      </c>
      <c r="E402" s="1">
        <v>51</v>
      </c>
      <c r="F402" s="1" t="s">
        <v>20</v>
      </c>
      <c r="G402" s="1" t="s">
        <v>21</v>
      </c>
      <c r="H402" s="1" t="s">
        <v>68</v>
      </c>
      <c r="I402" s="1" t="s">
        <v>69</v>
      </c>
      <c r="J402" s="1">
        <v>1</v>
      </c>
      <c r="K402" s="27">
        <v>2</v>
      </c>
      <c r="L402" s="27">
        <v>0.1</v>
      </c>
      <c r="M402" s="1" t="s">
        <v>45</v>
      </c>
      <c r="N402" s="1" t="s">
        <v>51</v>
      </c>
      <c r="O402" t="str">
        <f t="shared" si="24"/>
        <v>Apr</v>
      </c>
      <c r="P402" t="str">
        <f t="shared" si="25"/>
        <v>2026</v>
      </c>
      <c r="Q402" s="25">
        <f t="shared" si="26"/>
        <v>52</v>
      </c>
      <c r="R402" s="29">
        <f t="shared" si="27"/>
        <v>46.800000000000004</v>
      </c>
    </row>
    <row r="403" spans="1:18" x14ac:dyDescent="0.25">
      <c r="A403" s="5" t="s">
        <v>664</v>
      </c>
      <c r="B403" s="3" t="s">
        <v>263</v>
      </c>
      <c r="C403" s="1" t="s">
        <v>42</v>
      </c>
      <c r="D403" s="1" t="s">
        <v>19</v>
      </c>
      <c r="E403" s="1">
        <v>55</v>
      </c>
      <c r="F403" s="1" t="s">
        <v>43</v>
      </c>
      <c r="G403" s="1" t="s">
        <v>44</v>
      </c>
      <c r="H403" s="1" t="s">
        <v>49</v>
      </c>
      <c r="I403" s="1" t="s">
        <v>50</v>
      </c>
      <c r="J403" s="1">
        <v>6</v>
      </c>
      <c r="K403" s="27">
        <v>120</v>
      </c>
      <c r="L403" s="27">
        <v>0.1</v>
      </c>
      <c r="M403" s="1" t="s">
        <v>31</v>
      </c>
      <c r="N403" s="1" t="s">
        <v>55</v>
      </c>
      <c r="O403" t="str">
        <f t="shared" si="24"/>
        <v>Jun</v>
      </c>
      <c r="P403" t="str">
        <f t="shared" si="25"/>
        <v>2026</v>
      </c>
      <c r="Q403" s="25">
        <f t="shared" si="26"/>
        <v>170</v>
      </c>
      <c r="R403" s="29">
        <f t="shared" si="27"/>
        <v>918</v>
      </c>
    </row>
    <row r="404" spans="1:18" x14ac:dyDescent="0.25">
      <c r="A404" s="5" t="s">
        <v>665</v>
      </c>
      <c r="B404" s="3" t="s">
        <v>67</v>
      </c>
      <c r="C404" s="1" t="s">
        <v>108</v>
      </c>
      <c r="D404" s="1" t="s">
        <v>36</v>
      </c>
      <c r="E404" s="1">
        <v>33</v>
      </c>
      <c r="F404" s="1" t="s">
        <v>29</v>
      </c>
      <c r="G404" s="1" t="s">
        <v>30</v>
      </c>
      <c r="H404" s="1" t="s">
        <v>109</v>
      </c>
      <c r="I404" s="1" t="s">
        <v>50</v>
      </c>
      <c r="J404" s="1">
        <v>2</v>
      </c>
      <c r="K404" s="27">
        <v>80</v>
      </c>
      <c r="L404" s="27">
        <v>0.1</v>
      </c>
      <c r="M404" s="1" t="s">
        <v>31</v>
      </c>
      <c r="N404" s="1" t="s">
        <v>32</v>
      </c>
      <c r="O404" t="str">
        <f t="shared" si="24"/>
        <v>Jun</v>
      </c>
      <c r="P404" t="str">
        <f t="shared" si="25"/>
        <v>2026</v>
      </c>
      <c r="Q404" s="25">
        <f t="shared" si="26"/>
        <v>130</v>
      </c>
      <c r="R404" s="29">
        <f t="shared" si="27"/>
        <v>234</v>
      </c>
    </row>
    <row r="405" spans="1:18" x14ac:dyDescent="0.25">
      <c r="A405" s="5" t="s">
        <v>666</v>
      </c>
      <c r="B405" s="3" t="s">
        <v>356</v>
      </c>
      <c r="C405" s="1" t="s">
        <v>65</v>
      </c>
      <c r="D405" s="1" t="s">
        <v>19</v>
      </c>
      <c r="E405" s="1">
        <v>22</v>
      </c>
      <c r="F405" s="1" t="s">
        <v>43</v>
      </c>
      <c r="G405" s="1" t="s">
        <v>44</v>
      </c>
      <c r="H405" s="1" t="s">
        <v>118</v>
      </c>
      <c r="I405" s="1" t="s">
        <v>23</v>
      </c>
      <c r="J405" s="1">
        <v>10</v>
      </c>
      <c r="K405" s="27">
        <v>180</v>
      </c>
      <c r="L405" s="27">
        <v>0.05</v>
      </c>
      <c r="M405" s="1" t="s">
        <v>39</v>
      </c>
      <c r="N405" s="1" t="s">
        <v>32</v>
      </c>
      <c r="O405" t="str">
        <f t="shared" si="24"/>
        <v>Apr</v>
      </c>
      <c r="P405" t="str">
        <f t="shared" si="25"/>
        <v>2026</v>
      </c>
      <c r="Q405" s="25">
        <f t="shared" si="26"/>
        <v>230</v>
      </c>
      <c r="R405" s="29">
        <f t="shared" si="27"/>
        <v>2185</v>
      </c>
    </row>
    <row r="406" spans="1:18" x14ac:dyDescent="0.25">
      <c r="A406" s="5" t="s">
        <v>667</v>
      </c>
      <c r="B406" s="3" t="s">
        <v>81</v>
      </c>
      <c r="C406" s="1" t="s">
        <v>268</v>
      </c>
      <c r="D406" s="1" t="s">
        <v>19</v>
      </c>
      <c r="E406" s="1">
        <v>60</v>
      </c>
      <c r="F406" s="1" t="s">
        <v>29</v>
      </c>
      <c r="G406" s="1" t="s">
        <v>30</v>
      </c>
      <c r="H406" s="1" t="s">
        <v>79</v>
      </c>
      <c r="I406" s="1" t="s">
        <v>23</v>
      </c>
      <c r="J406" s="1">
        <v>9</v>
      </c>
      <c r="K406" s="27">
        <v>500</v>
      </c>
      <c r="L406" s="27">
        <v>0</v>
      </c>
      <c r="M406" s="1" t="s">
        <v>31</v>
      </c>
      <c r="N406" s="1" t="s">
        <v>25</v>
      </c>
      <c r="O406" t="str">
        <f t="shared" si="24"/>
        <v>Jan</v>
      </c>
      <c r="P406" t="str">
        <f t="shared" si="25"/>
        <v>2026</v>
      </c>
      <c r="Q406" s="25">
        <f t="shared" si="26"/>
        <v>550</v>
      </c>
      <c r="R406" s="29">
        <f t="shared" si="27"/>
        <v>4950</v>
      </c>
    </row>
    <row r="407" spans="1:18" x14ac:dyDescent="0.25">
      <c r="A407" s="5" t="s">
        <v>668</v>
      </c>
      <c r="B407" s="3" t="s">
        <v>299</v>
      </c>
      <c r="C407" s="1" t="s">
        <v>303</v>
      </c>
      <c r="D407" s="1" t="s">
        <v>36</v>
      </c>
      <c r="E407" s="1">
        <v>26</v>
      </c>
      <c r="F407" s="1" t="s">
        <v>29</v>
      </c>
      <c r="G407" s="1" t="s">
        <v>30</v>
      </c>
      <c r="H407" s="1" t="s">
        <v>118</v>
      </c>
      <c r="I407" s="1" t="s">
        <v>23</v>
      </c>
      <c r="J407" s="1">
        <v>5</v>
      </c>
      <c r="K407" s="27">
        <v>180</v>
      </c>
      <c r="L407" s="27">
        <v>0.1</v>
      </c>
      <c r="M407" s="1" t="s">
        <v>39</v>
      </c>
      <c r="N407" s="1" t="s">
        <v>32</v>
      </c>
      <c r="O407" t="str">
        <f t="shared" si="24"/>
        <v>Apr</v>
      </c>
      <c r="P407" t="str">
        <f t="shared" si="25"/>
        <v>2026</v>
      </c>
      <c r="Q407" s="25">
        <f t="shared" si="26"/>
        <v>230</v>
      </c>
      <c r="R407" s="29">
        <f t="shared" si="27"/>
        <v>1035</v>
      </c>
    </row>
    <row r="408" spans="1:18" x14ac:dyDescent="0.25">
      <c r="A408" s="5" t="s">
        <v>669</v>
      </c>
      <c r="B408" s="3" t="s">
        <v>572</v>
      </c>
      <c r="C408" s="1" t="s">
        <v>256</v>
      </c>
      <c r="D408" s="1" t="s">
        <v>36</v>
      </c>
      <c r="E408" s="1">
        <v>23</v>
      </c>
      <c r="F408" s="1" t="s">
        <v>43</v>
      </c>
      <c r="G408" s="1" t="s">
        <v>44</v>
      </c>
      <c r="H408" s="1" t="s">
        <v>73</v>
      </c>
      <c r="I408" s="1" t="s">
        <v>69</v>
      </c>
      <c r="J408" s="1">
        <v>7</v>
      </c>
      <c r="K408" s="27">
        <v>5</v>
      </c>
      <c r="L408" s="27">
        <v>0</v>
      </c>
      <c r="M408" s="1" t="s">
        <v>93</v>
      </c>
      <c r="N408" s="1" t="s">
        <v>25</v>
      </c>
      <c r="O408" t="str">
        <f t="shared" si="24"/>
        <v>Jan</v>
      </c>
      <c r="P408" t="str">
        <f t="shared" si="25"/>
        <v>2026</v>
      </c>
      <c r="Q408" s="25">
        <f t="shared" si="26"/>
        <v>55</v>
      </c>
      <c r="R408" s="29">
        <f t="shared" si="27"/>
        <v>385</v>
      </c>
    </row>
    <row r="409" spans="1:18" x14ac:dyDescent="0.25">
      <c r="A409" s="5" t="s">
        <v>670</v>
      </c>
      <c r="B409" s="3" t="s">
        <v>502</v>
      </c>
      <c r="C409" s="1" t="s">
        <v>180</v>
      </c>
      <c r="D409" s="1" t="s">
        <v>36</v>
      </c>
      <c r="E409" s="1">
        <v>34</v>
      </c>
      <c r="F409" s="1" t="s">
        <v>43</v>
      </c>
      <c r="G409" s="1" t="s">
        <v>44</v>
      </c>
      <c r="H409" s="1" t="s">
        <v>79</v>
      </c>
      <c r="I409" s="1" t="s">
        <v>23</v>
      </c>
      <c r="J409" s="1">
        <v>8</v>
      </c>
      <c r="K409" s="27">
        <v>500</v>
      </c>
      <c r="L409" s="27">
        <v>0.15</v>
      </c>
      <c r="M409" s="1" t="s">
        <v>58</v>
      </c>
      <c r="N409" s="1" t="s">
        <v>55</v>
      </c>
      <c r="O409" t="str">
        <f t="shared" si="24"/>
        <v>Jun</v>
      </c>
      <c r="P409" t="str">
        <f t="shared" si="25"/>
        <v>2026</v>
      </c>
      <c r="Q409" s="25">
        <f t="shared" si="26"/>
        <v>550</v>
      </c>
      <c r="R409" s="29">
        <f t="shared" si="27"/>
        <v>3740</v>
      </c>
    </row>
    <row r="410" spans="1:18" x14ac:dyDescent="0.25">
      <c r="A410" s="5" t="s">
        <v>671</v>
      </c>
      <c r="B410" s="3" t="s">
        <v>363</v>
      </c>
      <c r="C410" s="1" t="s">
        <v>108</v>
      </c>
      <c r="D410" s="1" t="s">
        <v>36</v>
      </c>
      <c r="E410" s="1">
        <v>44</v>
      </c>
      <c r="F410" s="1" t="s">
        <v>43</v>
      </c>
      <c r="G410" s="1" t="s">
        <v>44</v>
      </c>
      <c r="H410" s="1" t="s">
        <v>79</v>
      </c>
      <c r="I410" s="1" t="s">
        <v>23</v>
      </c>
      <c r="J410" s="1">
        <v>3</v>
      </c>
      <c r="K410" s="27">
        <v>500</v>
      </c>
      <c r="L410" s="27">
        <v>0.05</v>
      </c>
      <c r="M410" s="1" t="s">
        <v>58</v>
      </c>
      <c r="N410" s="1" t="s">
        <v>32</v>
      </c>
      <c r="O410" t="str">
        <f t="shared" si="24"/>
        <v>Jan</v>
      </c>
      <c r="P410" t="str">
        <f t="shared" si="25"/>
        <v>2026</v>
      </c>
      <c r="Q410" s="25">
        <f t="shared" si="26"/>
        <v>550</v>
      </c>
      <c r="R410" s="29">
        <f t="shared" si="27"/>
        <v>1567.5</v>
      </c>
    </row>
    <row r="411" spans="1:18" x14ac:dyDescent="0.25">
      <c r="A411" s="5" t="s">
        <v>672</v>
      </c>
      <c r="B411" s="3" t="s">
        <v>488</v>
      </c>
      <c r="C411" s="1" t="s">
        <v>65</v>
      </c>
      <c r="D411" s="1" t="s">
        <v>36</v>
      </c>
      <c r="E411" s="1">
        <v>21</v>
      </c>
      <c r="F411" s="1" t="s">
        <v>20</v>
      </c>
      <c r="G411" s="1" t="s">
        <v>21</v>
      </c>
      <c r="H411" s="1" t="s">
        <v>49</v>
      </c>
      <c r="I411" s="1" t="s">
        <v>50</v>
      </c>
      <c r="J411" s="1">
        <v>3</v>
      </c>
      <c r="K411" s="27">
        <v>120</v>
      </c>
      <c r="L411" s="27">
        <v>0</v>
      </c>
      <c r="M411" s="1" t="s">
        <v>93</v>
      </c>
      <c r="N411" s="1" t="s">
        <v>51</v>
      </c>
      <c r="O411" t="str">
        <f t="shared" si="24"/>
        <v>Feb</v>
      </c>
      <c r="P411" t="str">
        <f t="shared" si="25"/>
        <v>2026</v>
      </c>
      <c r="Q411" s="25">
        <f t="shared" si="26"/>
        <v>170</v>
      </c>
      <c r="R411" s="29">
        <f t="shared" si="27"/>
        <v>510</v>
      </c>
    </row>
    <row r="412" spans="1:18" x14ac:dyDescent="0.25">
      <c r="A412" s="5" t="s">
        <v>673</v>
      </c>
      <c r="B412" s="3" t="s">
        <v>47</v>
      </c>
      <c r="C412" s="1" t="s">
        <v>117</v>
      </c>
      <c r="D412" s="1" t="s">
        <v>36</v>
      </c>
      <c r="E412" s="1">
        <v>31</v>
      </c>
      <c r="F412" s="1" t="s">
        <v>88</v>
      </c>
      <c r="G412" s="1" t="s">
        <v>89</v>
      </c>
      <c r="H412" s="1" t="s">
        <v>62</v>
      </c>
      <c r="I412" s="1" t="s">
        <v>23</v>
      </c>
      <c r="J412" s="1">
        <v>4</v>
      </c>
      <c r="K412" s="27">
        <v>15</v>
      </c>
      <c r="L412" s="27">
        <v>0.15</v>
      </c>
      <c r="M412" s="1" t="s">
        <v>58</v>
      </c>
      <c r="N412" s="1" t="s">
        <v>25</v>
      </c>
      <c r="O412" t="str">
        <f t="shared" si="24"/>
        <v>Mar</v>
      </c>
      <c r="P412" t="str">
        <f t="shared" si="25"/>
        <v>2026</v>
      </c>
      <c r="Q412" s="25">
        <f t="shared" si="26"/>
        <v>65</v>
      </c>
      <c r="R412" s="29">
        <f t="shared" si="27"/>
        <v>221</v>
      </c>
    </row>
    <row r="413" spans="1:18" x14ac:dyDescent="0.25">
      <c r="A413" s="5" t="s">
        <v>674</v>
      </c>
      <c r="B413" s="3" t="s">
        <v>91</v>
      </c>
      <c r="C413" s="1" t="s">
        <v>145</v>
      </c>
      <c r="D413" s="1" t="s">
        <v>19</v>
      </c>
      <c r="E413" s="1">
        <v>30</v>
      </c>
      <c r="F413" s="1" t="s">
        <v>20</v>
      </c>
      <c r="G413" s="1" t="s">
        <v>21</v>
      </c>
      <c r="H413" s="1" t="s">
        <v>62</v>
      </c>
      <c r="I413" s="1" t="s">
        <v>23</v>
      </c>
      <c r="J413" s="1">
        <v>8</v>
      </c>
      <c r="K413" s="27">
        <v>15</v>
      </c>
      <c r="L413" s="27">
        <v>0</v>
      </c>
      <c r="M413" s="1" t="s">
        <v>31</v>
      </c>
      <c r="N413" s="1" t="s">
        <v>55</v>
      </c>
      <c r="O413" t="str">
        <f t="shared" si="24"/>
        <v>May</v>
      </c>
      <c r="P413" t="str">
        <f t="shared" si="25"/>
        <v>2026</v>
      </c>
      <c r="Q413" s="25">
        <f t="shared" si="26"/>
        <v>65</v>
      </c>
      <c r="R413" s="29">
        <f t="shared" si="27"/>
        <v>520</v>
      </c>
    </row>
    <row r="414" spans="1:18" x14ac:dyDescent="0.25">
      <c r="A414" s="5" t="s">
        <v>675</v>
      </c>
      <c r="B414" s="3" t="s">
        <v>349</v>
      </c>
      <c r="C414" s="1" t="s">
        <v>87</v>
      </c>
      <c r="D414" s="1" t="s">
        <v>19</v>
      </c>
      <c r="E414" s="1">
        <v>57</v>
      </c>
      <c r="F414" s="1" t="s">
        <v>20</v>
      </c>
      <c r="G414" s="1" t="s">
        <v>21</v>
      </c>
      <c r="H414" s="1" t="s">
        <v>79</v>
      </c>
      <c r="I414" s="1" t="s">
        <v>23</v>
      </c>
      <c r="J414" s="1">
        <v>5</v>
      </c>
      <c r="K414" s="27">
        <v>500</v>
      </c>
      <c r="L414" s="27">
        <v>0</v>
      </c>
      <c r="M414" s="1" t="s">
        <v>58</v>
      </c>
      <c r="N414" s="1" t="s">
        <v>32</v>
      </c>
      <c r="O414" t="str">
        <f t="shared" si="24"/>
        <v>May</v>
      </c>
      <c r="P414" t="str">
        <f t="shared" si="25"/>
        <v>2026</v>
      </c>
      <c r="Q414" s="25">
        <f t="shared" si="26"/>
        <v>550</v>
      </c>
      <c r="R414" s="29">
        <f t="shared" si="27"/>
        <v>2750</v>
      </c>
    </row>
    <row r="415" spans="1:18" x14ac:dyDescent="0.25">
      <c r="A415" s="5" t="s">
        <v>676</v>
      </c>
      <c r="B415" s="3" t="s">
        <v>307</v>
      </c>
      <c r="C415" s="1" t="s">
        <v>256</v>
      </c>
      <c r="D415" s="1" t="s">
        <v>19</v>
      </c>
      <c r="E415" s="1">
        <v>21</v>
      </c>
      <c r="F415" s="1" t="s">
        <v>29</v>
      </c>
      <c r="G415" s="1" t="s">
        <v>30</v>
      </c>
      <c r="H415" s="1" t="s">
        <v>118</v>
      </c>
      <c r="I415" s="1" t="s">
        <v>23</v>
      </c>
      <c r="J415" s="1">
        <v>7</v>
      </c>
      <c r="K415" s="27">
        <v>180</v>
      </c>
      <c r="L415" s="27">
        <v>0</v>
      </c>
      <c r="M415" s="1" t="s">
        <v>58</v>
      </c>
      <c r="N415" s="1" t="s">
        <v>25</v>
      </c>
      <c r="O415" t="str">
        <f t="shared" si="24"/>
        <v>May</v>
      </c>
      <c r="P415" t="str">
        <f t="shared" si="25"/>
        <v>2026</v>
      </c>
      <c r="Q415" s="25">
        <f t="shared" si="26"/>
        <v>230</v>
      </c>
      <c r="R415" s="29">
        <f t="shared" si="27"/>
        <v>1610</v>
      </c>
    </row>
    <row r="416" spans="1:18" x14ac:dyDescent="0.25">
      <c r="A416" s="5" t="s">
        <v>677</v>
      </c>
      <c r="B416" s="3" t="s">
        <v>423</v>
      </c>
      <c r="C416" s="1" t="s">
        <v>158</v>
      </c>
      <c r="D416" s="1" t="s">
        <v>36</v>
      </c>
      <c r="E416" s="1">
        <v>27</v>
      </c>
      <c r="F416" s="1" t="s">
        <v>43</v>
      </c>
      <c r="G416" s="1" t="s">
        <v>44</v>
      </c>
      <c r="H416" s="1" t="s">
        <v>118</v>
      </c>
      <c r="I416" s="1" t="s">
        <v>23</v>
      </c>
      <c r="J416" s="1">
        <v>1</v>
      </c>
      <c r="K416" s="27">
        <v>180</v>
      </c>
      <c r="L416" s="27">
        <v>0</v>
      </c>
      <c r="M416" s="1" t="s">
        <v>39</v>
      </c>
      <c r="N416" s="1" t="s">
        <v>55</v>
      </c>
      <c r="O416" t="str">
        <f t="shared" si="24"/>
        <v>Jan</v>
      </c>
      <c r="P416" t="str">
        <f t="shared" si="25"/>
        <v>2026</v>
      </c>
      <c r="Q416" s="25">
        <f t="shared" si="26"/>
        <v>230</v>
      </c>
      <c r="R416" s="29">
        <f t="shared" si="27"/>
        <v>230</v>
      </c>
    </row>
    <row r="417" spans="1:18" x14ac:dyDescent="0.25">
      <c r="A417" s="5" t="s">
        <v>678</v>
      </c>
      <c r="B417" s="3" t="s">
        <v>451</v>
      </c>
      <c r="C417" s="1" t="s">
        <v>268</v>
      </c>
      <c r="D417" s="1" t="s">
        <v>19</v>
      </c>
      <c r="E417" s="1">
        <v>38</v>
      </c>
      <c r="F417" s="1" t="s">
        <v>88</v>
      </c>
      <c r="G417" s="1" t="s">
        <v>89</v>
      </c>
      <c r="H417" s="1" t="s">
        <v>79</v>
      </c>
      <c r="I417" s="1" t="s">
        <v>23</v>
      </c>
      <c r="J417" s="1">
        <v>8</v>
      </c>
      <c r="K417" s="27">
        <v>500</v>
      </c>
      <c r="L417" s="27">
        <v>0.1</v>
      </c>
      <c r="M417" s="1" t="s">
        <v>39</v>
      </c>
      <c r="N417" s="1" t="s">
        <v>51</v>
      </c>
      <c r="O417" t="str">
        <f t="shared" si="24"/>
        <v>Jun</v>
      </c>
      <c r="P417" t="str">
        <f t="shared" si="25"/>
        <v>2026</v>
      </c>
      <c r="Q417" s="25">
        <f t="shared" si="26"/>
        <v>550</v>
      </c>
      <c r="R417" s="29">
        <f t="shared" si="27"/>
        <v>3960</v>
      </c>
    </row>
    <row r="418" spans="1:18" x14ac:dyDescent="0.25">
      <c r="A418" s="5" t="s">
        <v>679</v>
      </c>
      <c r="B418" s="3" t="s">
        <v>474</v>
      </c>
      <c r="C418" s="1" t="s">
        <v>96</v>
      </c>
      <c r="D418" s="1" t="s">
        <v>19</v>
      </c>
      <c r="E418" s="1">
        <v>21</v>
      </c>
      <c r="F418" s="1" t="s">
        <v>29</v>
      </c>
      <c r="G418" s="1" t="s">
        <v>30</v>
      </c>
      <c r="H418" s="1" t="s">
        <v>22</v>
      </c>
      <c r="I418" s="1" t="s">
        <v>23</v>
      </c>
      <c r="J418" s="1">
        <v>10</v>
      </c>
      <c r="K418" s="27">
        <v>850</v>
      </c>
      <c r="L418" s="27">
        <v>0</v>
      </c>
      <c r="M418" s="1" t="s">
        <v>58</v>
      </c>
      <c r="N418" s="1" t="s">
        <v>51</v>
      </c>
      <c r="O418" t="str">
        <f t="shared" si="24"/>
        <v>Apr</v>
      </c>
      <c r="P418" t="str">
        <f t="shared" si="25"/>
        <v>2026</v>
      </c>
      <c r="Q418" s="25">
        <f t="shared" si="26"/>
        <v>900</v>
      </c>
      <c r="R418" s="29">
        <f t="shared" si="27"/>
        <v>9000</v>
      </c>
    </row>
    <row r="419" spans="1:18" x14ac:dyDescent="0.25">
      <c r="A419" s="5" t="s">
        <v>680</v>
      </c>
      <c r="B419" s="3" t="s">
        <v>681</v>
      </c>
      <c r="C419" s="1" t="s">
        <v>205</v>
      </c>
      <c r="D419" s="1" t="s">
        <v>36</v>
      </c>
      <c r="E419" s="1">
        <v>32</v>
      </c>
      <c r="F419" s="1" t="s">
        <v>43</v>
      </c>
      <c r="G419" s="1" t="s">
        <v>44</v>
      </c>
      <c r="H419" s="1" t="s">
        <v>109</v>
      </c>
      <c r="I419" s="1" t="s">
        <v>50</v>
      </c>
      <c r="J419" s="1">
        <v>4</v>
      </c>
      <c r="K419" s="27">
        <v>80</v>
      </c>
      <c r="L419" s="27">
        <v>0.1</v>
      </c>
      <c r="M419" s="1" t="s">
        <v>45</v>
      </c>
      <c r="N419" s="1" t="s">
        <v>55</v>
      </c>
      <c r="O419" t="str">
        <f t="shared" si="24"/>
        <v>Mar</v>
      </c>
      <c r="P419" t="str">
        <f t="shared" si="25"/>
        <v>2026</v>
      </c>
      <c r="Q419" s="25">
        <f t="shared" si="26"/>
        <v>130</v>
      </c>
      <c r="R419" s="29">
        <f t="shared" si="27"/>
        <v>468</v>
      </c>
    </row>
    <row r="420" spans="1:18" x14ac:dyDescent="0.25">
      <c r="A420" s="5" t="s">
        <v>682</v>
      </c>
      <c r="B420" s="3" t="s">
        <v>427</v>
      </c>
      <c r="C420" s="1" t="s">
        <v>268</v>
      </c>
      <c r="D420" s="1" t="s">
        <v>19</v>
      </c>
      <c r="E420" s="1">
        <v>55</v>
      </c>
      <c r="F420" s="1" t="s">
        <v>88</v>
      </c>
      <c r="G420" s="1" t="s">
        <v>89</v>
      </c>
      <c r="H420" s="1" t="s">
        <v>79</v>
      </c>
      <c r="I420" s="1" t="s">
        <v>23</v>
      </c>
      <c r="J420" s="1">
        <v>3</v>
      </c>
      <c r="K420" s="27">
        <v>500</v>
      </c>
      <c r="L420" s="27">
        <v>0.15</v>
      </c>
      <c r="M420" s="1" t="s">
        <v>24</v>
      </c>
      <c r="N420" s="1" t="s">
        <v>55</v>
      </c>
      <c r="O420" t="str">
        <f t="shared" si="24"/>
        <v>Apr</v>
      </c>
      <c r="P420" t="str">
        <f t="shared" si="25"/>
        <v>2026</v>
      </c>
      <c r="Q420" s="25">
        <f t="shared" si="26"/>
        <v>550</v>
      </c>
      <c r="R420" s="29">
        <f t="shared" si="27"/>
        <v>1402.5</v>
      </c>
    </row>
    <row r="421" spans="1:18" x14ac:dyDescent="0.25">
      <c r="A421" s="5" t="s">
        <v>683</v>
      </c>
      <c r="B421" s="3" t="s">
        <v>81</v>
      </c>
      <c r="C421" s="1" t="s">
        <v>223</v>
      </c>
      <c r="D421" s="1" t="s">
        <v>19</v>
      </c>
      <c r="E421" s="1">
        <v>51</v>
      </c>
      <c r="F421" s="1" t="s">
        <v>43</v>
      </c>
      <c r="G421" s="1" t="s">
        <v>44</v>
      </c>
      <c r="H421" s="1" t="s">
        <v>73</v>
      </c>
      <c r="I421" s="1" t="s">
        <v>69</v>
      </c>
      <c r="J421" s="1">
        <v>7</v>
      </c>
      <c r="K421" s="27">
        <v>5</v>
      </c>
      <c r="L421" s="27">
        <v>0</v>
      </c>
      <c r="M421" s="1" t="s">
        <v>24</v>
      </c>
      <c r="N421" s="1" t="s">
        <v>32</v>
      </c>
      <c r="O421" t="str">
        <f t="shared" si="24"/>
        <v>Jan</v>
      </c>
      <c r="P421" t="str">
        <f t="shared" si="25"/>
        <v>2026</v>
      </c>
      <c r="Q421" s="25">
        <f t="shared" si="26"/>
        <v>55</v>
      </c>
      <c r="R421" s="29">
        <f t="shared" si="27"/>
        <v>385</v>
      </c>
    </row>
    <row r="422" spans="1:18" x14ac:dyDescent="0.25">
      <c r="A422" s="5" t="s">
        <v>684</v>
      </c>
      <c r="B422" s="3" t="s">
        <v>47</v>
      </c>
      <c r="C422" s="1" t="s">
        <v>240</v>
      </c>
      <c r="D422" s="1" t="s">
        <v>19</v>
      </c>
      <c r="E422" s="1">
        <v>22</v>
      </c>
      <c r="F422" s="1" t="s">
        <v>43</v>
      </c>
      <c r="G422" s="1" t="s">
        <v>44</v>
      </c>
      <c r="H422" s="1" t="s">
        <v>68</v>
      </c>
      <c r="I422" s="1" t="s">
        <v>69</v>
      </c>
      <c r="J422" s="1">
        <v>4</v>
      </c>
      <c r="K422" s="27">
        <v>2</v>
      </c>
      <c r="L422" s="27">
        <v>0.15</v>
      </c>
      <c r="M422" s="1" t="s">
        <v>45</v>
      </c>
      <c r="N422" s="1" t="s">
        <v>55</v>
      </c>
      <c r="O422" t="str">
        <f t="shared" si="24"/>
        <v>Mar</v>
      </c>
      <c r="P422" t="str">
        <f t="shared" si="25"/>
        <v>2026</v>
      </c>
      <c r="Q422" s="25">
        <f t="shared" si="26"/>
        <v>52</v>
      </c>
      <c r="R422" s="29">
        <f t="shared" si="27"/>
        <v>176.79999999999998</v>
      </c>
    </row>
    <row r="423" spans="1:18" x14ac:dyDescent="0.25">
      <c r="A423" s="5" t="s">
        <v>685</v>
      </c>
      <c r="B423" s="3" t="s">
        <v>64</v>
      </c>
      <c r="C423" s="1" t="s">
        <v>87</v>
      </c>
      <c r="D423" s="1" t="s">
        <v>36</v>
      </c>
      <c r="E423" s="1">
        <v>20</v>
      </c>
      <c r="F423" s="1" t="s">
        <v>29</v>
      </c>
      <c r="G423" s="1" t="s">
        <v>30</v>
      </c>
      <c r="H423" s="1" t="s">
        <v>62</v>
      </c>
      <c r="I423" s="1" t="s">
        <v>23</v>
      </c>
      <c r="J423" s="1">
        <v>9</v>
      </c>
      <c r="K423" s="27">
        <v>15</v>
      </c>
      <c r="L423" s="27">
        <v>0</v>
      </c>
      <c r="M423" s="1" t="s">
        <v>45</v>
      </c>
      <c r="N423" s="1" t="s">
        <v>25</v>
      </c>
      <c r="O423" t="str">
        <f t="shared" si="24"/>
        <v>Apr</v>
      </c>
      <c r="P423" t="str">
        <f t="shared" si="25"/>
        <v>2026</v>
      </c>
      <c r="Q423" s="25">
        <f t="shared" si="26"/>
        <v>65</v>
      </c>
      <c r="R423" s="29">
        <f t="shared" si="27"/>
        <v>585</v>
      </c>
    </row>
    <row r="424" spans="1:18" x14ac:dyDescent="0.25">
      <c r="A424" s="5" t="s">
        <v>686</v>
      </c>
      <c r="B424" s="3" t="s">
        <v>316</v>
      </c>
      <c r="C424" s="1" t="s">
        <v>102</v>
      </c>
      <c r="D424" s="1" t="s">
        <v>36</v>
      </c>
      <c r="E424" s="1">
        <v>24</v>
      </c>
      <c r="F424" s="1" t="s">
        <v>37</v>
      </c>
      <c r="G424" s="1" t="s">
        <v>38</v>
      </c>
      <c r="H424" s="1" t="s">
        <v>22</v>
      </c>
      <c r="I424" s="1" t="s">
        <v>23</v>
      </c>
      <c r="J424" s="1">
        <v>7</v>
      </c>
      <c r="K424" s="27">
        <v>850</v>
      </c>
      <c r="L424" s="27">
        <v>0</v>
      </c>
      <c r="M424" s="1" t="s">
        <v>39</v>
      </c>
      <c r="N424" s="1" t="s">
        <v>25</v>
      </c>
      <c r="O424" t="str">
        <f t="shared" si="24"/>
        <v>Mar</v>
      </c>
      <c r="P424" t="str">
        <f t="shared" si="25"/>
        <v>2026</v>
      </c>
      <c r="Q424" s="25">
        <f t="shared" si="26"/>
        <v>900</v>
      </c>
      <c r="R424" s="29">
        <f t="shared" si="27"/>
        <v>6300</v>
      </c>
    </row>
    <row r="425" spans="1:18" x14ac:dyDescent="0.25">
      <c r="A425" s="5" t="s">
        <v>687</v>
      </c>
      <c r="B425" s="3" t="s">
        <v>230</v>
      </c>
      <c r="C425" s="1" t="s">
        <v>303</v>
      </c>
      <c r="D425" s="1" t="s">
        <v>36</v>
      </c>
      <c r="E425" s="1">
        <v>53</v>
      </c>
      <c r="F425" s="1" t="s">
        <v>43</v>
      </c>
      <c r="G425" s="1" t="s">
        <v>44</v>
      </c>
      <c r="H425" s="1" t="s">
        <v>109</v>
      </c>
      <c r="I425" s="1" t="s">
        <v>50</v>
      </c>
      <c r="J425" s="1">
        <v>7</v>
      </c>
      <c r="K425" s="27">
        <v>80</v>
      </c>
      <c r="L425" s="27">
        <v>0.05</v>
      </c>
      <c r="M425" s="1" t="s">
        <v>93</v>
      </c>
      <c r="N425" s="1" t="s">
        <v>25</v>
      </c>
      <c r="O425" t="str">
        <f t="shared" si="24"/>
        <v>Jan</v>
      </c>
      <c r="P425" t="str">
        <f t="shared" si="25"/>
        <v>2026</v>
      </c>
      <c r="Q425" s="25">
        <f t="shared" si="26"/>
        <v>130</v>
      </c>
      <c r="R425" s="29">
        <f t="shared" si="27"/>
        <v>864.5</v>
      </c>
    </row>
    <row r="426" spans="1:18" x14ac:dyDescent="0.25">
      <c r="A426" s="5" t="s">
        <v>688</v>
      </c>
      <c r="B426" s="3" t="s">
        <v>86</v>
      </c>
      <c r="C426" s="1" t="s">
        <v>152</v>
      </c>
      <c r="D426" s="1" t="s">
        <v>19</v>
      </c>
      <c r="E426" s="1">
        <v>53</v>
      </c>
      <c r="F426" s="1" t="s">
        <v>88</v>
      </c>
      <c r="G426" s="1" t="s">
        <v>89</v>
      </c>
      <c r="H426" s="1" t="s">
        <v>22</v>
      </c>
      <c r="I426" s="1" t="s">
        <v>23</v>
      </c>
      <c r="J426" s="1">
        <v>7</v>
      </c>
      <c r="K426" s="27">
        <v>850</v>
      </c>
      <c r="L426" s="27">
        <v>0</v>
      </c>
      <c r="M426" s="1" t="s">
        <v>93</v>
      </c>
      <c r="N426" s="1" t="s">
        <v>25</v>
      </c>
      <c r="O426" t="str">
        <f t="shared" si="24"/>
        <v>Feb</v>
      </c>
      <c r="P426" t="str">
        <f t="shared" si="25"/>
        <v>2026</v>
      </c>
      <c r="Q426" s="25">
        <f t="shared" si="26"/>
        <v>900</v>
      </c>
      <c r="R426" s="29">
        <f t="shared" si="27"/>
        <v>6300</v>
      </c>
    </row>
    <row r="427" spans="1:18" x14ac:dyDescent="0.25">
      <c r="A427" s="5" t="s">
        <v>689</v>
      </c>
      <c r="B427" s="3" t="s">
        <v>216</v>
      </c>
      <c r="C427" s="1" t="s">
        <v>126</v>
      </c>
      <c r="D427" s="1" t="s">
        <v>36</v>
      </c>
      <c r="E427" s="1">
        <v>38</v>
      </c>
      <c r="F427" s="1" t="s">
        <v>20</v>
      </c>
      <c r="G427" s="1" t="s">
        <v>21</v>
      </c>
      <c r="H427" s="1" t="s">
        <v>79</v>
      </c>
      <c r="I427" s="1" t="s">
        <v>23</v>
      </c>
      <c r="J427" s="1">
        <v>1</v>
      </c>
      <c r="K427" s="27">
        <v>500</v>
      </c>
      <c r="L427" s="27">
        <v>0</v>
      </c>
      <c r="M427" s="1" t="s">
        <v>39</v>
      </c>
      <c r="N427" s="1" t="s">
        <v>32</v>
      </c>
      <c r="O427" t="str">
        <f t="shared" si="24"/>
        <v>Jun</v>
      </c>
      <c r="P427" t="str">
        <f t="shared" si="25"/>
        <v>2026</v>
      </c>
      <c r="Q427" s="25">
        <f t="shared" si="26"/>
        <v>550</v>
      </c>
      <c r="R427" s="29">
        <f t="shared" si="27"/>
        <v>550</v>
      </c>
    </row>
    <row r="428" spans="1:18" x14ac:dyDescent="0.25">
      <c r="A428" s="5" t="s">
        <v>690</v>
      </c>
      <c r="B428" s="3" t="s">
        <v>423</v>
      </c>
      <c r="C428" s="1" t="s">
        <v>131</v>
      </c>
      <c r="D428" s="1" t="s">
        <v>36</v>
      </c>
      <c r="E428" s="1">
        <v>45</v>
      </c>
      <c r="F428" s="1" t="s">
        <v>88</v>
      </c>
      <c r="G428" s="1" t="s">
        <v>89</v>
      </c>
      <c r="H428" s="1" t="s">
        <v>49</v>
      </c>
      <c r="I428" s="1" t="s">
        <v>50</v>
      </c>
      <c r="J428" s="1">
        <v>1</v>
      </c>
      <c r="K428" s="27">
        <v>120</v>
      </c>
      <c r="L428" s="27">
        <v>0.05</v>
      </c>
      <c r="M428" s="1" t="s">
        <v>24</v>
      </c>
      <c r="N428" s="1" t="s">
        <v>25</v>
      </c>
      <c r="O428" t="str">
        <f t="shared" si="24"/>
        <v>Jan</v>
      </c>
      <c r="P428" t="str">
        <f t="shared" si="25"/>
        <v>2026</v>
      </c>
      <c r="Q428" s="25">
        <f t="shared" si="26"/>
        <v>170</v>
      </c>
      <c r="R428" s="29">
        <f t="shared" si="27"/>
        <v>161.5</v>
      </c>
    </row>
    <row r="429" spans="1:18" x14ac:dyDescent="0.25">
      <c r="A429" s="5" t="s">
        <v>691</v>
      </c>
      <c r="B429" s="3" t="s">
        <v>86</v>
      </c>
      <c r="C429" s="1" t="s">
        <v>240</v>
      </c>
      <c r="D429" s="1" t="s">
        <v>36</v>
      </c>
      <c r="E429" s="1">
        <v>32</v>
      </c>
      <c r="F429" s="1" t="s">
        <v>88</v>
      </c>
      <c r="G429" s="1" t="s">
        <v>89</v>
      </c>
      <c r="H429" s="1" t="s">
        <v>62</v>
      </c>
      <c r="I429" s="1" t="s">
        <v>23</v>
      </c>
      <c r="J429" s="1">
        <v>4</v>
      </c>
      <c r="K429" s="27">
        <v>15</v>
      </c>
      <c r="L429" s="27">
        <v>0.15</v>
      </c>
      <c r="M429" s="1" t="s">
        <v>39</v>
      </c>
      <c r="N429" s="1" t="s">
        <v>55</v>
      </c>
      <c r="O429" t="str">
        <f t="shared" si="24"/>
        <v>Feb</v>
      </c>
      <c r="P429" t="str">
        <f t="shared" si="25"/>
        <v>2026</v>
      </c>
      <c r="Q429" s="25">
        <f t="shared" si="26"/>
        <v>65</v>
      </c>
      <c r="R429" s="29">
        <f t="shared" si="27"/>
        <v>221</v>
      </c>
    </row>
    <row r="430" spans="1:18" x14ac:dyDescent="0.25">
      <c r="A430" s="5" t="s">
        <v>692</v>
      </c>
      <c r="B430" s="3" t="s">
        <v>623</v>
      </c>
      <c r="C430" s="1" t="s">
        <v>243</v>
      </c>
      <c r="D430" s="1" t="s">
        <v>36</v>
      </c>
      <c r="E430" s="1">
        <v>18</v>
      </c>
      <c r="F430" s="1" t="s">
        <v>20</v>
      </c>
      <c r="G430" s="1" t="s">
        <v>21</v>
      </c>
      <c r="H430" s="1" t="s">
        <v>73</v>
      </c>
      <c r="I430" s="1" t="s">
        <v>69</v>
      </c>
      <c r="J430" s="1">
        <v>1</v>
      </c>
      <c r="K430" s="27">
        <v>5</v>
      </c>
      <c r="L430" s="27">
        <v>0.05</v>
      </c>
      <c r="M430" s="1" t="s">
        <v>24</v>
      </c>
      <c r="N430" s="1" t="s">
        <v>55</v>
      </c>
      <c r="O430" t="str">
        <f t="shared" si="24"/>
        <v>May</v>
      </c>
      <c r="P430" t="str">
        <f t="shared" si="25"/>
        <v>2026</v>
      </c>
      <c r="Q430" s="25">
        <f t="shared" si="26"/>
        <v>55</v>
      </c>
      <c r="R430" s="29">
        <f t="shared" si="27"/>
        <v>52.25</v>
      </c>
    </row>
    <row r="431" spans="1:18" x14ac:dyDescent="0.25">
      <c r="A431" s="5" t="s">
        <v>693</v>
      </c>
      <c r="B431" s="3" t="s">
        <v>209</v>
      </c>
      <c r="C431" s="1" t="s">
        <v>72</v>
      </c>
      <c r="D431" s="1" t="s">
        <v>36</v>
      </c>
      <c r="E431" s="1">
        <v>25</v>
      </c>
      <c r="F431" s="1" t="s">
        <v>88</v>
      </c>
      <c r="G431" s="1" t="s">
        <v>89</v>
      </c>
      <c r="H431" s="1" t="s">
        <v>49</v>
      </c>
      <c r="I431" s="1" t="s">
        <v>50</v>
      </c>
      <c r="J431" s="1">
        <v>4</v>
      </c>
      <c r="K431" s="27">
        <v>120</v>
      </c>
      <c r="L431" s="27">
        <v>0.1</v>
      </c>
      <c r="M431" s="1" t="s">
        <v>39</v>
      </c>
      <c r="N431" s="1" t="s">
        <v>32</v>
      </c>
      <c r="O431" t="str">
        <f t="shared" si="24"/>
        <v>Apr</v>
      </c>
      <c r="P431" t="str">
        <f t="shared" si="25"/>
        <v>2026</v>
      </c>
      <c r="Q431" s="25">
        <f t="shared" si="26"/>
        <v>170</v>
      </c>
      <c r="R431" s="29">
        <f t="shared" si="27"/>
        <v>612</v>
      </c>
    </row>
    <row r="432" spans="1:18" x14ac:dyDescent="0.25">
      <c r="A432" s="5" t="s">
        <v>694</v>
      </c>
      <c r="B432" s="3" t="s">
        <v>499</v>
      </c>
      <c r="C432" s="1" t="s">
        <v>294</v>
      </c>
      <c r="D432" s="1" t="s">
        <v>36</v>
      </c>
      <c r="E432" s="1">
        <v>31</v>
      </c>
      <c r="F432" s="1" t="s">
        <v>88</v>
      </c>
      <c r="G432" s="1" t="s">
        <v>89</v>
      </c>
      <c r="H432" s="1" t="s">
        <v>73</v>
      </c>
      <c r="I432" s="1" t="s">
        <v>69</v>
      </c>
      <c r="J432" s="1">
        <v>5</v>
      </c>
      <c r="K432" s="27">
        <v>5</v>
      </c>
      <c r="L432" s="27">
        <v>0</v>
      </c>
      <c r="M432" s="1" t="s">
        <v>24</v>
      </c>
      <c r="N432" s="1" t="s">
        <v>32</v>
      </c>
      <c r="O432" t="str">
        <f t="shared" si="24"/>
        <v>Apr</v>
      </c>
      <c r="P432" t="str">
        <f t="shared" si="25"/>
        <v>2026</v>
      </c>
      <c r="Q432" s="25">
        <f t="shared" si="26"/>
        <v>55</v>
      </c>
      <c r="R432" s="29">
        <f t="shared" si="27"/>
        <v>275</v>
      </c>
    </row>
    <row r="433" spans="1:18" x14ac:dyDescent="0.25">
      <c r="A433" s="5" t="s">
        <v>695</v>
      </c>
      <c r="B433" s="3" t="s">
        <v>423</v>
      </c>
      <c r="C433" s="1" t="s">
        <v>182</v>
      </c>
      <c r="D433" s="1" t="s">
        <v>19</v>
      </c>
      <c r="E433" s="1">
        <v>27</v>
      </c>
      <c r="F433" s="1" t="s">
        <v>37</v>
      </c>
      <c r="G433" s="1" t="s">
        <v>38</v>
      </c>
      <c r="H433" s="1" t="s">
        <v>79</v>
      </c>
      <c r="I433" s="1" t="s">
        <v>23</v>
      </c>
      <c r="J433" s="1">
        <v>8</v>
      </c>
      <c r="K433" s="27">
        <v>500</v>
      </c>
      <c r="L433" s="27">
        <v>0.05</v>
      </c>
      <c r="M433" s="1" t="s">
        <v>39</v>
      </c>
      <c r="N433" s="1" t="s">
        <v>25</v>
      </c>
      <c r="O433" t="str">
        <f t="shared" si="24"/>
        <v>Jan</v>
      </c>
      <c r="P433" t="str">
        <f t="shared" si="25"/>
        <v>2026</v>
      </c>
      <c r="Q433" s="25">
        <f t="shared" si="26"/>
        <v>550</v>
      </c>
      <c r="R433" s="29">
        <f t="shared" si="27"/>
        <v>4180</v>
      </c>
    </row>
    <row r="434" spans="1:18" x14ac:dyDescent="0.25">
      <c r="A434" s="5" t="s">
        <v>696</v>
      </c>
      <c r="B434" s="3" t="s">
        <v>411</v>
      </c>
      <c r="C434" s="1" t="s">
        <v>152</v>
      </c>
      <c r="D434" s="1" t="s">
        <v>19</v>
      </c>
      <c r="E434" s="1">
        <v>52</v>
      </c>
      <c r="F434" s="1" t="s">
        <v>29</v>
      </c>
      <c r="G434" s="1" t="s">
        <v>30</v>
      </c>
      <c r="H434" s="1" t="s">
        <v>109</v>
      </c>
      <c r="I434" s="1" t="s">
        <v>50</v>
      </c>
      <c r="J434" s="1">
        <v>6</v>
      </c>
      <c r="K434" s="27">
        <v>80</v>
      </c>
      <c r="L434" s="27">
        <v>0.1</v>
      </c>
      <c r="M434" s="1" t="s">
        <v>45</v>
      </c>
      <c r="N434" s="1" t="s">
        <v>55</v>
      </c>
      <c r="O434" t="str">
        <f t="shared" si="24"/>
        <v>Jun</v>
      </c>
      <c r="P434" t="str">
        <f t="shared" si="25"/>
        <v>2026</v>
      </c>
      <c r="Q434" s="25">
        <f t="shared" si="26"/>
        <v>130</v>
      </c>
      <c r="R434" s="29">
        <f t="shared" si="27"/>
        <v>702</v>
      </c>
    </row>
    <row r="435" spans="1:18" x14ac:dyDescent="0.25">
      <c r="A435" s="5" t="s">
        <v>697</v>
      </c>
      <c r="B435" s="3" t="s">
        <v>140</v>
      </c>
      <c r="C435" s="1" t="s">
        <v>152</v>
      </c>
      <c r="D435" s="1" t="s">
        <v>19</v>
      </c>
      <c r="E435" s="1">
        <v>22</v>
      </c>
      <c r="F435" s="1" t="s">
        <v>37</v>
      </c>
      <c r="G435" s="1" t="s">
        <v>38</v>
      </c>
      <c r="H435" s="1" t="s">
        <v>109</v>
      </c>
      <c r="I435" s="1" t="s">
        <v>50</v>
      </c>
      <c r="J435" s="1">
        <v>2</v>
      </c>
      <c r="K435" s="27">
        <v>80</v>
      </c>
      <c r="L435" s="27">
        <v>0.15</v>
      </c>
      <c r="M435" s="1" t="s">
        <v>31</v>
      </c>
      <c r="N435" s="1" t="s">
        <v>51</v>
      </c>
      <c r="O435" t="str">
        <f t="shared" si="24"/>
        <v>May</v>
      </c>
      <c r="P435" t="str">
        <f t="shared" si="25"/>
        <v>2026</v>
      </c>
      <c r="Q435" s="25">
        <f t="shared" si="26"/>
        <v>130</v>
      </c>
      <c r="R435" s="29">
        <f t="shared" si="27"/>
        <v>221</v>
      </c>
    </row>
    <row r="436" spans="1:18" x14ac:dyDescent="0.25">
      <c r="A436" s="5" t="s">
        <v>698</v>
      </c>
      <c r="B436" s="3" t="s">
        <v>250</v>
      </c>
      <c r="C436" s="1" t="s">
        <v>99</v>
      </c>
      <c r="D436" s="1" t="s">
        <v>19</v>
      </c>
      <c r="E436" s="1">
        <v>19</v>
      </c>
      <c r="F436" s="1" t="s">
        <v>43</v>
      </c>
      <c r="G436" s="1" t="s">
        <v>44</v>
      </c>
      <c r="H436" s="1" t="s">
        <v>118</v>
      </c>
      <c r="I436" s="1" t="s">
        <v>23</v>
      </c>
      <c r="J436" s="1">
        <v>5</v>
      </c>
      <c r="K436" s="27">
        <v>180</v>
      </c>
      <c r="L436" s="27">
        <v>0.15</v>
      </c>
      <c r="M436" s="1" t="s">
        <v>45</v>
      </c>
      <c r="N436" s="1" t="s">
        <v>51</v>
      </c>
      <c r="O436" t="str">
        <f t="shared" si="24"/>
        <v>Mar</v>
      </c>
      <c r="P436" t="str">
        <f t="shared" si="25"/>
        <v>2026</v>
      </c>
      <c r="Q436" s="25">
        <f t="shared" si="26"/>
        <v>230</v>
      </c>
      <c r="R436" s="29">
        <f t="shared" si="27"/>
        <v>977.5</v>
      </c>
    </row>
    <row r="437" spans="1:18" x14ac:dyDescent="0.25">
      <c r="A437" s="5" t="s">
        <v>699</v>
      </c>
      <c r="B437" s="3" t="s">
        <v>700</v>
      </c>
      <c r="C437" s="1" t="s">
        <v>72</v>
      </c>
      <c r="D437" s="1" t="s">
        <v>19</v>
      </c>
      <c r="E437" s="1">
        <v>20</v>
      </c>
      <c r="F437" s="1" t="s">
        <v>37</v>
      </c>
      <c r="G437" s="1" t="s">
        <v>38</v>
      </c>
      <c r="H437" s="1" t="s">
        <v>62</v>
      </c>
      <c r="I437" s="1" t="s">
        <v>23</v>
      </c>
      <c r="J437" s="1">
        <v>8</v>
      </c>
      <c r="K437" s="27">
        <v>15</v>
      </c>
      <c r="L437" s="27">
        <v>0.1</v>
      </c>
      <c r="M437" s="1" t="s">
        <v>39</v>
      </c>
      <c r="N437" s="1" t="s">
        <v>55</v>
      </c>
      <c r="O437" t="str">
        <f t="shared" si="24"/>
        <v>Feb</v>
      </c>
      <c r="P437" t="str">
        <f t="shared" si="25"/>
        <v>2026</v>
      </c>
      <c r="Q437" s="25">
        <f t="shared" si="26"/>
        <v>65</v>
      </c>
      <c r="R437" s="29">
        <f t="shared" si="27"/>
        <v>468</v>
      </c>
    </row>
    <row r="438" spans="1:18" x14ac:dyDescent="0.25">
      <c r="A438" s="5" t="s">
        <v>701</v>
      </c>
      <c r="B438" s="3" t="s">
        <v>98</v>
      </c>
      <c r="C438" s="1" t="s">
        <v>92</v>
      </c>
      <c r="D438" s="1" t="s">
        <v>36</v>
      </c>
      <c r="E438" s="1">
        <v>29</v>
      </c>
      <c r="F438" s="1" t="s">
        <v>37</v>
      </c>
      <c r="G438" s="1" t="s">
        <v>38</v>
      </c>
      <c r="H438" s="1" t="s">
        <v>49</v>
      </c>
      <c r="I438" s="1" t="s">
        <v>50</v>
      </c>
      <c r="J438" s="1">
        <v>6</v>
      </c>
      <c r="K438" s="27">
        <v>120</v>
      </c>
      <c r="L438" s="27">
        <v>0.15</v>
      </c>
      <c r="M438" s="1" t="s">
        <v>45</v>
      </c>
      <c r="N438" s="1" t="s">
        <v>55</v>
      </c>
      <c r="O438" t="str">
        <f t="shared" si="24"/>
        <v>Jun</v>
      </c>
      <c r="P438" t="str">
        <f t="shared" si="25"/>
        <v>2026</v>
      </c>
      <c r="Q438" s="25">
        <f t="shared" si="26"/>
        <v>170</v>
      </c>
      <c r="R438" s="29">
        <f t="shared" si="27"/>
        <v>867</v>
      </c>
    </row>
    <row r="439" spans="1:18" x14ac:dyDescent="0.25">
      <c r="A439" s="5" t="s">
        <v>702</v>
      </c>
      <c r="B439" s="3" t="s">
        <v>435</v>
      </c>
      <c r="C439" s="1" t="s">
        <v>289</v>
      </c>
      <c r="D439" s="1" t="s">
        <v>36</v>
      </c>
      <c r="E439" s="1">
        <v>29</v>
      </c>
      <c r="F439" s="1" t="s">
        <v>43</v>
      </c>
      <c r="G439" s="1" t="s">
        <v>44</v>
      </c>
      <c r="H439" s="1" t="s">
        <v>68</v>
      </c>
      <c r="I439" s="1" t="s">
        <v>69</v>
      </c>
      <c r="J439" s="1">
        <v>5</v>
      </c>
      <c r="K439" s="27">
        <v>2</v>
      </c>
      <c r="L439" s="27">
        <v>0</v>
      </c>
      <c r="M439" s="1" t="s">
        <v>93</v>
      </c>
      <c r="N439" s="1" t="s">
        <v>55</v>
      </c>
      <c r="O439" t="str">
        <f t="shared" si="24"/>
        <v>Jan</v>
      </c>
      <c r="P439" t="str">
        <f t="shared" si="25"/>
        <v>2026</v>
      </c>
      <c r="Q439" s="25">
        <f t="shared" si="26"/>
        <v>52</v>
      </c>
      <c r="R439" s="29">
        <f t="shared" si="27"/>
        <v>260</v>
      </c>
    </row>
    <row r="440" spans="1:18" x14ac:dyDescent="0.25">
      <c r="A440" s="5" t="s">
        <v>703</v>
      </c>
      <c r="B440" s="3" t="s">
        <v>307</v>
      </c>
      <c r="C440" s="1" t="s">
        <v>117</v>
      </c>
      <c r="D440" s="1" t="s">
        <v>19</v>
      </c>
      <c r="E440" s="1">
        <v>51</v>
      </c>
      <c r="F440" s="1" t="s">
        <v>20</v>
      </c>
      <c r="G440" s="1" t="s">
        <v>21</v>
      </c>
      <c r="H440" s="1" t="s">
        <v>62</v>
      </c>
      <c r="I440" s="1" t="s">
        <v>23</v>
      </c>
      <c r="J440" s="1">
        <v>6</v>
      </c>
      <c r="K440" s="27">
        <v>15</v>
      </c>
      <c r="L440" s="27">
        <v>0.1</v>
      </c>
      <c r="M440" s="1" t="s">
        <v>31</v>
      </c>
      <c r="N440" s="1" t="s">
        <v>32</v>
      </c>
      <c r="O440" t="str">
        <f t="shared" si="24"/>
        <v>May</v>
      </c>
      <c r="P440" t="str">
        <f t="shared" si="25"/>
        <v>2026</v>
      </c>
      <c r="Q440" s="25">
        <f t="shared" si="26"/>
        <v>65</v>
      </c>
      <c r="R440" s="29">
        <f t="shared" si="27"/>
        <v>351</v>
      </c>
    </row>
    <row r="441" spans="1:18" x14ac:dyDescent="0.25">
      <c r="A441" s="5" t="s">
        <v>704</v>
      </c>
      <c r="B441" s="3" t="s">
        <v>415</v>
      </c>
      <c r="C441" s="1" t="s">
        <v>350</v>
      </c>
      <c r="D441" s="1" t="s">
        <v>36</v>
      </c>
      <c r="E441" s="1">
        <v>25</v>
      </c>
      <c r="F441" s="1" t="s">
        <v>20</v>
      </c>
      <c r="G441" s="1" t="s">
        <v>21</v>
      </c>
      <c r="H441" s="1" t="s">
        <v>62</v>
      </c>
      <c r="I441" s="1" t="s">
        <v>23</v>
      </c>
      <c r="J441" s="1">
        <v>3</v>
      </c>
      <c r="K441" s="27">
        <v>15</v>
      </c>
      <c r="L441" s="27">
        <v>0.1</v>
      </c>
      <c r="M441" s="1" t="s">
        <v>45</v>
      </c>
      <c r="N441" s="1" t="s">
        <v>32</v>
      </c>
      <c r="O441" t="str">
        <f t="shared" si="24"/>
        <v>May</v>
      </c>
      <c r="P441" t="str">
        <f t="shared" si="25"/>
        <v>2026</v>
      </c>
      <c r="Q441" s="25">
        <f t="shared" si="26"/>
        <v>65</v>
      </c>
      <c r="R441" s="29">
        <f t="shared" si="27"/>
        <v>175.5</v>
      </c>
    </row>
    <row r="442" spans="1:18" x14ac:dyDescent="0.25">
      <c r="A442" s="5" t="s">
        <v>705</v>
      </c>
      <c r="B442" s="3" t="s">
        <v>700</v>
      </c>
      <c r="C442" s="1" t="s">
        <v>87</v>
      </c>
      <c r="D442" s="1" t="s">
        <v>19</v>
      </c>
      <c r="E442" s="1">
        <v>38</v>
      </c>
      <c r="F442" s="1" t="s">
        <v>20</v>
      </c>
      <c r="G442" s="1" t="s">
        <v>21</v>
      </c>
      <c r="H442" s="1" t="s">
        <v>49</v>
      </c>
      <c r="I442" s="1" t="s">
        <v>50</v>
      </c>
      <c r="J442" s="1">
        <v>4</v>
      </c>
      <c r="K442" s="27">
        <v>120</v>
      </c>
      <c r="L442" s="27">
        <v>0</v>
      </c>
      <c r="M442" s="1" t="s">
        <v>58</v>
      </c>
      <c r="N442" s="1" t="s">
        <v>32</v>
      </c>
      <c r="O442" t="str">
        <f t="shared" si="24"/>
        <v>Feb</v>
      </c>
      <c r="P442" t="str">
        <f t="shared" si="25"/>
        <v>2026</v>
      </c>
      <c r="Q442" s="25">
        <f t="shared" si="26"/>
        <v>170</v>
      </c>
      <c r="R442" s="29">
        <f t="shared" si="27"/>
        <v>680</v>
      </c>
    </row>
    <row r="443" spans="1:18" x14ac:dyDescent="0.25">
      <c r="A443" s="5" t="s">
        <v>706</v>
      </c>
      <c r="B443" s="3" t="s">
        <v>461</v>
      </c>
      <c r="C443" s="1" t="s">
        <v>233</v>
      </c>
      <c r="D443" s="1" t="s">
        <v>19</v>
      </c>
      <c r="E443" s="1">
        <v>60</v>
      </c>
      <c r="F443" s="1" t="s">
        <v>37</v>
      </c>
      <c r="G443" s="1" t="s">
        <v>38</v>
      </c>
      <c r="H443" s="1" t="s">
        <v>109</v>
      </c>
      <c r="I443" s="1" t="s">
        <v>50</v>
      </c>
      <c r="J443" s="1">
        <v>6</v>
      </c>
      <c r="K443" s="27">
        <v>80</v>
      </c>
      <c r="L443" s="27">
        <v>0</v>
      </c>
      <c r="M443" s="1" t="s">
        <v>39</v>
      </c>
      <c r="N443" s="1" t="s">
        <v>55</v>
      </c>
      <c r="O443" t="str">
        <f t="shared" si="24"/>
        <v>Apr</v>
      </c>
      <c r="P443" t="str">
        <f t="shared" si="25"/>
        <v>2026</v>
      </c>
      <c r="Q443" s="25">
        <f t="shared" si="26"/>
        <v>130</v>
      </c>
      <c r="R443" s="29">
        <f t="shared" si="27"/>
        <v>780</v>
      </c>
    </row>
    <row r="444" spans="1:18" x14ac:dyDescent="0.25">
      <c r="A444" s="5" t="s">
        <v>707</v>
      </c>
      <c r="B444" s="3" t="s">
        <v>201</v>
      </c>
      <c r="C444" s="1" t="s">
        <v>180</v>
      </c>
      <c r="D444" s="1" t="s">
        <v>36</v>
      </c>
      <c r="E444" s="1">
        <v>27</v>
      </c>
      <c r="F444" s="1" t="s">
        <v>43</v>
      </c>
      <c r="G444" s="1" t="s">
        <v>44</v>
      </c>
      <c r="H444" s="1" t="s">
        <v>73</v>
      </c>
      <c r="I444" s="1" t="s">
        <v>69</v>
      </c>
      <c r="J444" s="1">
        <v>9</v>
      </c>
      <c r="K444" s="27">
        <v>5</v>
      </c>
      <c r="L444" s="27">
        <v>0.15</v>
      </c>
      <c r="M444" s="1" t="s">
        <v>24</v>
      </c>
      <c r="N444" s="1" t="s">
        <v>32</v>
      </c>
      <c r="O444" t="str">
        <f t="shared" si="24"/>
        <v>May</v>
      </c>
      <c r="P444" t="str">
        <f t="shared" si="25"/>
        <v>2026</v>
      </c>
      <c r="Q444" s="25">
        <f t="shared" si="26"/>
        <v>55</v>
      </c>
      <c r="R444" s="29">
        <f t="shared" si="27"/>
        <v>420.75</v>
      </c>
    </row>
    <row r="445" spans="1:18" x14ac:dyDescent="0.25">
      <c r="A445" s="5" t="s">
        <v>708</v>
      </c>
      <c r="B445" s="3" t="s">
        <v>398</v>
      </c>
      <c r="C445" s="1" t="s">
        <v>165</v>
      </c>
      <c r="D445" s="1" t="s">
        <v>19</v>
      </c>
      <c r="E445" s="1">
        <v>23</v>
      </c>
      <c r="F445" s="1" t="s">
        <v>43</v>
      </c>
      <c r="G445" s="1" t="s">
        <v>44</v>
      </c>
      <c r="H445" s="1" t="s">
        <v>118</v>
      </c>
      <c r="I445" s="1" t="s">
        <v>23</v>
      </c>
      <c r="J445" s="1">
        <v>10</v>
      </c>
      <c r="K445" s="27">
        <v>180</v>
      </c>
      <c r="L445" s="27">
        <v>0.15</v>
      </c>
      <c r="M445" s="1" t="s">
        <v>58</v>
      </c>
      <c r="N445" s="1" t="s">
        <v>25</v>
      </c>
      <c r="O445" t="str">
        <f t="shared" si="24"/>
        <v>Jan</v>
      </c>
      <c r="P445" t="str">
        <f t="shared" si="25"/>
        <v>2026</v>
      </c>
      <c r="Q445" s="25">
        <f t="shared" si="26"/>
        <v>230</v>
      </c>
      <c r="R445" s="29">
        <f t="shared" si="27"/>
        <v>1955</v>
      </c>
    </row>
    <row r="446" spans="1:18" x14ac:dyDescent="0.25">
      <c r="A446" s="5" t="s">
        <v>709</v>
      </c>
      <c r="B446" s="3" t="s">
        <v>599</v>
      </c>
      <c r="C446" s="1" t="s">
        <v>233</v>
      </c>
      <c r="D446" s="1" t="s">
        <v>36</v>
      </c>
      <c r="E446" s="1">
        <v>56</v>
      </c>
      <c r="F446" s="1" t="s">
        <v>43</v>
      </c>
      <c r="G446" s="1" t="s">
        <v>44</v>
      </c>
      <c r="H446" s="1" t="s">
        <v>73</v>
      </c>
      <c r="I446" s="1" t="s">
        <v>69</v>
      </c>
      <c r="J446" s="1">
        <v>10</v>
      </c>
      <c r="K446" s="27">
        <v>5</v>
      </c>
      <c r="L446" s="27">
        <v>0</v>
      </c>
      <c r="M446" s="1" t="s">
        <v>31</v>
      </c>
      <c r="N446" s="1" t="s">
        <v>55</v>
      </c>
      <c r="O446" t="str">
        <f t="shared" si="24"/>
        <v>Apr</v>
      </c>
      <c r="P446" t="str">
        <f t="shared" si="25"/>
        <v>2026</v>
      </c>
      <c r="Q446" s="25">
        <f t="shared" si="26"/>
        <v>55</v>
      </c>
      <c r="R446" s="29">
        <f t="shared" si="27"/>
        <v>550</v>
      </c>
    </row>
    <row r="447" spans="1:18" x14ac:dyDescent="0.25">
      <c r="A447" s="5" t="s">
        <v>710</v>
      </c>
      <c r="B447" s="3" t="s">
        <v>212</v>
      </c>
      <c r="C447" s="1" t="s">
        <v>152</v>
      </c>
      <c r="D447" s="1" t="s">
        <v>19</v>
      </c>
      <c r="E447" s="1">
        <v>34</v>
      </c>
      <c r="F447" s="1" t="s">
        <v>88</v>
      </c>
      <c r="G447" s="1" t="s">
        <v>89</v>
      </c>
      <c r="H447" s="1" t="s">
        <v>79</v>
      </c>
      <c r="I447" s="1" t="s">
        <v>23</v>
      </c>
      <c r="J447" s="1">
        <v>4</v>
      </c>
      <c r="K447" s="27">
        <v>500</v>
      </c>
      <c r="L447" s="27">
        <v>0.15</v>
      </c>
      <c r="M447" s="1" t="s">
        <v>39</v>
      </c>
      <c r="N447" s="1" t="s">
        <v>25</v>
      </c>
      <c r="O447" t="str">
        <f t="shared" si="24"/>
        <v>Apr</v>
      </c>
      <c r="P447" t="str">
        <f t="shared" si="25"/>
        <v>2026</v>
      </c>
      <c r="Q447" s="25">
        <f t="shared" si="26"/>
        <v>550</v>
      </c>
      <c r="R447" s="29">
        <f t="shared" si="27"/>
        <v>1870</v>
      </c>
    </row>
    <row r="448" spans="1:18" x14ac:dyDescent="0.25">
      <c r="A448" s="5" t="s">
        <v>711</v>
      </c>
      <c r="B448" s="3" t="s">
        <v>67</v>
      </c>
      <c r="C448" s="1" t="s">
        <v>223</v>
      </c>
      <c r="D448" s="1" t="s">
        <v>36</v>
      </c>
      <c r="E448" s="1">
        <v>48</v>
      </c>
      <c r="F448" s="1" t="s">
        <v>29</v>
      </c>
      <c r="G448" s="1" t="s">
        <v>30</v>
      </c>
      <c r="H448" s="1" t="s">
        <v>73</v>
      </c>
      <c r="I448" s="1" t="s">
        <v>69</v>
      </c>
      <c r="J448" s="1">
        <v>10</v>
      </c>
      <c r="K448" s="27">
        <v>5</v>
      </c>
      <c r="L448" s="27">
        <v>0</v>
      </c>
      <c r="M448" s="1" t="s">
        <v>58</v>
      </c>
      <c r="N448" s="1" t="s">
        <v>32</v>
      </c>
      <c r="O448" t="str">
        <f t="shared" si="24"/>
        <v>Jun</v>
      </c>
      <c r="P448" t="str">
        <f t="shared" si="25"/>
        <v>2026</v>
      </c>
      <c r="Q448" s="25">
        <f t="shared" si="26"/>
        <v>55</v>
      </c>
      <c r="R448" s="29">
        <f t="shared" si="27"/>
        <v>550</v>
      </c>
    </row>
    <row r="449" spans="1:18" x14ac:dyDescent="0.25">
      <c r="A449" s="5" t="s">
        <v>712</v>
      </c>
      <c r="B449" s="3" t="s">
        <v>344</v>
      </c>
      <c r="C449" s="1" t="s">
        <v>268</v>
      </c>
      <c r="D449" s="1" t="s">
        <v>36</v>
      </c>
      <c r="E449" s="1">
        <v>28</v>
      </c>
      <c r="F449" s="1" t="s">
        <v>20</v>
      </c>
      <c r="G449" s="1" t="s">
        <v>21</v>
      </c>
      <c r="H449" s="1" t="s">
        <v>62</v>
      </c>
      <c r="I449" s="1" t="s">
        <v>23</v>
      </c>
      <c r="J449" s="1">
        <v>6</v>
      </c>
      <c r="K449" s="27">
        <v>15</v>
      </c>
      <c r="L449" s="27">
        <v>0.1</v>
      </c>
      <c r="M449" s="1" t="s">
        <v>58</v>
      </c>
      <c r="N449" s="1" t="s">
        <v>51</v>
      </c>
      <c r="O449" t="str">
        <f t="shared" si="24"/>
        <v>Mar</v>
      </c>
      <c r="P449" t="str">
        <f t="shared" si="25"/>
        <v>2026</v>
      </c>
      <c r="Q449" s="25">
        <f t="shared" si="26"/>
        <v>65</v>
      </c>
      <c r="R449" s="29">
        <f t="shared" si="27"/>
        <v>351</v>
      </c>
    </row>
    <row r="450" spans="1:18" x14ac:dyDescent="0.25">
      <c r="A450" s="5" t="s">
        <v>713</v>
      </c>
      <c r="B450" s="3" t="s">
        <v>432</v>
      </c>
      <c r="C450" s="1" t="s">
        <v>117</v>
      </c>
      <c r="D450" s="1" t="s">
        <v>36</v>
      </c>
      <c r="E450" s="1">
        <v>37</v>
      </c>
      <c r="F450" s="1" t="s">
        <v>29</v>
      </c>
      <c r="G450" s="1" t="s">
        <v>30</v>
      </c>
      <c r="H450" s="1" t="s">
        <v>73</v>
      </c>
      <c r="I450" s="1" t="s">
        <v>69</v>
      </c>
      <c r="J450" s="1">
        <v>8</v>
      </c>
      <c r="K450" s="27">
        <v>5</v>
      </c>
      <c r="L450" s="27">
        <v>0.1</v>
      </c>
      <c r="M450" s="1" t="s">
        <v>31</v>
      </c>
      <c r="N450" s="1" t="s">
        <v>32</v>
      </c>
      <c r="O450" t="str">
        <f t="shared" ref="O450:O501" si="28">TEXT(B:B,"MMM")</f>
        <v>Jun</v>
      </c>
      <c r="P450" t="str">
        <f t="shared" ref="P450:P501" si="29">TEXT(B:B,"YYYY")</f>
        <v>2026</v>
      </c>
      <c r="Q450" s="25">
        <f t="shared" ref="Q450:Q501" si="30">K:K+50</f>
        <v>55</v>
      </c>
      <c r="R450" s="29">
        <f t="shared" si="27"/>
        <v>396</v>
      </c>
    </row>
    <row r="451" spans="1:18" x14ac:dyDescent="0.25">
      <c r="A451" s="5" t="s">
        <v>714</v>
      </c>
      <c r="B451" s="3" t="s">
        <v>499</v>
      </c>
      <c r="C451" s="1" t="s">
        <v>48</v>
      </c>
      <c r="D451" s="1" t="s">
        <v>19</v>
      </c>
      <c r="E451" s="1">
        <v>34</v>
      </c>
      <c r="F451" s="1" t="s">
        <v>37</v>
      </c>
      <c r="G451" s="1" t="s">
        <v>38</v>
      </c>
      <c r="H451" s="1" t="s">
        <v>62</v>
      </c>
      <c r="I451" s="1" t="s">
        <v>23</v>
      </c>
      <c r="J451" s="1">
        <v>4</v>
      </c>
      <c r="K451" s="27">
        <v>15</v>
      </c>
      <c r="L451" s="27">
        <v>0.1</v>
      </c>
      <c r="M451" s="1" t="s">
        <v>24</v>
      </c>
      <c r="N451" s="1" t="s">
        <v>25</v>
      </c>
      <c r="O451" t="str">
        <f t="shared" si="28"/>
        <v>Apr</v>
      </c>
      <c r="P451" t="str">
        <f t="shared" si="29"/>
        <v>2026</v>
      </c>
      <c r="Q451" s="25">
        <f t="shared" si="30"/>
        <v>65</v>
      </c>
      <c r="R451" s="29">
        <f t="shared" ref="R451:R501" si="31">J:J*Q:Q*(1-L:L)</f>
        <v>234</v>
      </c>
    </row>
    <row r="452" spans="1:18" x14ac:dyDescent="0.25">
      <c r="A452" s="5" t="s">
        <v>715</v>
      </c>
      <c r="B452" s="3" t="s">
        <v>499</v>
      </c>
      <c r="C452" s="1" t="s">
        <v>350</v>
      </c>
      <c r="D452" s="1" t="s">
        <v>19</v>
      </c>
      <c r="E452" s="1">
        <v>18</v>
      </c>
      <c r="F452" s="1" t="s">
        <v>29</v>
      </c>
      <c r="G452" s="1" t="s">
        <v>30</v>
      </c>
      <c r="H452" s="1" t="s">
        <v>22</v>
      </c>
      <c r="I452" s="1" t="s">
        <v>23</v>
      </c>
      <c r="J452" s="1">
        <v>3</v>
      </c>
      <c r="K452" s="27">
        <v>850</v>
      </c>
      <c r="L452" s="27">
        <v>0.15</v>
      </c>
      <c r="M452" s="1" t="s">
        <v>24</v>
      </c>
      <c r="N452" s="1" t="s">
        <v>32</v>
      </c>
      <c r="O452" t="str">
        <f t="shared" si="28"/>
        <v>Apr</v>
      </c>
      <c r="P452" t="str">
        <f t="shared" si="29"/>
        <v>2026</v>
      </c>
      <c r="Q452" s="25">
        <f t="shared" si="30"/>
        <v>900</v>
      </c>
      <c r="R452" s="29">
        <f t="shared" si="31"/>
        <v>2295</v>
      </c>
    </row>
    <row r="453" spans="1:18" x14ac:dyDescent="0.25">
      <c r="A453" s="5" t="s">
        <v>716</v>
      </c>
      <c r="B453" s="3" t="s">
        <v>341</v>
      </c>
      <c r="C453" s="1" t="s">
        <v>268</v>
      </c>
      <c r="D453" s="1" t="s">
        <v>19</v>
      </c>
      <c r="E453" s="1">
        <v>37</v>
      </c>
      <c r="F453" s="1" t="s">
        <v>43</v>
      </c>
      <c r="G453" s="1" t="s">
        <v>44</v>
      </c>
      <c r="H453" s="1" t="s">
        <v>118</v>
      </c>
      <c r="I453" s="1" t="s">
        <v>23</v>
      </c>
      <c r="J453" s="1">
        <v>10</v>
      </c>
      <c r="K453" s="27">
        <v>180</v>
      </c>
      <c r="L453" s="27">
        <v>0.05</v>
      </c>
      <c r="M453" s="1" t="s">
        <v>39</v>
      </c>
      <c r="N453" s="1" t="s">
        <v>51</v>
      </c>
      <c r="O453" t="str">
        <f t="shared" si="28"/>
        <v>Feb</v>
      </c>
      <c r="P453" t="str">
        <f t="shared" si="29"/>
        <v>2026</v>
      </c>
      <c r="Q453" s="25">
        <f t="shared" si="30"/>
        <v>230</v>
      </c>
      <c r="R453" s="29">
        <f t="shared" si="31"/>
        <v>2185</v>
      </c>
    </row>
    <row r="454" spans="1:18" x14ac:dyDescent="0.25">
      <c r="A454" s="5" t="s">
        <v>717</v>
      </c>
      <c r="B454" s="3" t="s">
        <v>371</v>
      </c>
      <c r="C454" s="1" t="s">
        <v>145</v>
      </c>
      <c r="D454" s="1" t="s">
        <v>36</v>
      </c>
      <c r="E454" s="1">
        <v>57</v>
      </c>
      <c r="F454" s="1" t="s">
        <v>43</v>
      </c>
      <c r="G454" s="1" t="s">
        <v>44</v>
      </c>
      <c r="H454" s="1" t="s">
        <v>79</v>
      </c>
      <c r="I454" s="1" t="s">
        <v>23</v>
      </c>
      <c r="J454" s="1">
        <v>2</v>
      </c>
      <c r="K454" s="27">
        <v>500</v>
      </c>
      <c r="L454" s="27">
        <v>0.1</v>
      </c>
      <c r="M454" s="1" t="s">
        <v>24</v>
      </c>
      <c r="N454" s="1" t="s">
        <v>25</v>
      </c>
      <c r="O454" t="str">
        <f t="shared" si="28"/>
        <v>Feb</v>
      </c>
      <c r="P454" t="str">
        <f t="shared" si="29"/>
        <v>2026</v>
      </c>
      <c r="Q454" s="25">
        <f t="shared" si="30"/>
        <v>550</v>
      </c>
      <c r="R454" s="29">
        <f t="shared" si="31"/>
        <v>990</v>
      </c>
    </row>
    <row r="455" spans="1:18" x14ac:dyDescent="0.25">
      <c r="A455" s="5" t="s">
        <v>718</v>
      </c>
      <c r="B455" s="3" t="s">
        <v>187</v>
      </c>
      <c r="C455" s="1" t="s">
        <v>152</v>
      </c>
      <c r="D455" s="1" t="s">
        <v>19</v>
      </c>
      <c r="E455" s="1">
        <v>26</v>
      </c>
      <c r="F455" s="1" t="s">
        <v>37</v>
      </c>
      <c r="G455" s="1" t="s">
        <v>38</v>
      </c>
      <c r="H455" s="1" t="s">
        <v>22</v>
      </c>
      <c r="I455" s="1" t="s">
        <v>23</v>
      </c>
      <c r="J455" s="1">
        <v>5</v>
      </c>
      <c r="K455" s="27">
        <v>850</v>
      </c>
      <c r="L455" s="27">
        <v>0.1</v>
      </c>
      <c r="M455" s="1" t="s">
        <v>93</v>
      </c>
      <c r="N455" s="1" t="s">
        <v>51</v>
      </c>
      <c r="O455" t="str">
        <f t="shared" si="28"/>
        <v>Jan</v>
      </c>
      <c r="P455" t="str">
        <f t="shared" si="29"/>
        <v>2026</v>
      </c>
      <c r="Q455" s="25">
        <f t="shared" si="30"/>
        <v>900</v>
      </c>
      <c r="R455" s="29">
        <f t="shared" si="31"/>
        <v>4050</v>
      </c>
    </row>
    <row r="456" spans="1:18" x14ac:dyDescent="0.25">
      <c r="A456" s="5" t="s">
        <v>719</v>
      </c>
      <c r="B456" s="3" t="s">
        <v>599</v>
      </c>
      <c r="C456" s="1" t="s">
        <v>243</v>
      </c>
      <c r="D456" s="1" t="s">
        <v>36</v>
      </c>
      <c r="E456" s="1">
        <v>53</v>
      </c>
      <c r="F456" s="1" t="s">
        <v>37</v>
      </c>
      <c r="G456" s="1" t="s">
        <v>38</v>
      </c>
      <c r="H456" s="1" t="s">
        <v>22</v>
      </c>
      <c r="I456" s="1" t="s">
        <v>23</v>
      </c>
      <c r="J456" s="1">
        <v>10</v>
      </c>
      <c r="K456" s="27">
        <v>850</v>
      </c>
      <c r="L456" s="27">
        <v>0.1</v>
      </c>
      <c r="M456" s="1" t="s">
        <v>58</v>
      </c>
      <c r="N456" s="1" t="s">
        <v>32</v>
      </c>
      <c r="O456" t="str">
        <f t="shared" si="28"/>
        <v>Apr</v>
      </c>
      <c r="P456" t="str">
        <f t="shared" si="29"/>
        <v>2026</v>
      </c>
      <c r="Q456" s="25">
        <f t="shared" si="30"/>
        <v>900</v>
      </c>
      <c r="R456" s="29">
        <f t="shared" si="31"/>
        <v>8100</v>
      </c>
    </row>
    <row r="457" spans="1:18" x14ac:dyDescent="0.25">
      <c r="A457" s="5" t="s">
        <v>720</v>
      </c>
      <c r="B457" s="3" t="s">
        <v>681</v>
      </c>
      <c r="C457" s="1" t="s">
        <v>123</v>
      </c>
      <c r="D457" s="1" t="s">
        <v>19</v>
      </c>
      <c r="E457" s="1">
        <v>25</v>
      </c>
      <c r="F457" s="1" t="s">
        <v>43</v>
      </c>
      <c r="G457" s="1" t="s">
        <v>44</v>
      </c>
      <c r="H457" s="1" t="s">
        <v>118</v>
      </c>
      <c r="I457" s="1" t="s">
        <v>23</v>
      </c>
      <c r="J457" s="1">
        <v>9</v>
      </c>
      <c r="K457" s="27">
        <v>180</v>
      </c>
      <c r="L457" s="27">
        <v>0.1</v>
      </c>
      <c r="M457" s="1" t="s">
        <v>31</v>
      </c>
      <c r="N457" s="1" t="s">
        <v>55</v>
      </c>
      <c r="O457" t="str">
        <f t="shared" si="28"/>
        <v>Mar</v>
      </c>
      <c r="P457" t="str">
        <f t="shared" si="29"/>
        <v>2026</v>
      </c>
      <c r="Q457" s="25">
        <f t="shared" si="30"/>
        <v>230</v>
      </c>
      <c r="R457" s="29">
        <f t="shared" si="31"/>
        <v>1863</v>
      </c>
    </row>
    <row r="458" spans="1:18" x14ac:dyDescent="0.25">
      <c r="A458" s="5" t="s">
        <v>721</v>
      </c>
      <c r="B458" s="3" t="s">
        <v>587</v>
      </c>
      <c r="C458" s="1" t="s">
        <v>108</v>
      </c>
      <c r="D458" s="1" t="s">
        <v>36</v>
      </c>
      <c r="E458" s="1">
        <v>23</v>
      </c>
      <c r="F458" s="1" t="s">
        <v>29</v>
      </c>
      <c r="G458" s="1" t="s">
        <v>30</v>
      </c>
      <c r="H458" s="1" t="s">
        <v>109</v>
      </c>
      <c r="I458" s="1" t="s">
        <v>50</v>
      </c>
      <c r="J458" s="1">
        <v>6</v>
      </c>
      <c r="K458" s="27">
        <v>80</v>
      </c>
      <c r="L458" s="27">
        <v>0.05</v>
      </c>
      <c r="M458" s="1" t="s">
        <v>39</v>
      </c>
      <c r="N458" s="1" t="s">
        <v>32</v>
      </c>
      <c r="O458" t="str">
        <f t="shared" si="28"/>
        <v>Jun</v>
      </c>
      <c r="P458" t="str">
        <f t="shared" si="29"/>
        <v>2026</v>
      </c>
      <c r="Q458" s="25">
        <f t="shared" si="30"/>
        <v>130</v>
      </c>
      <c r="R458" s="29">
        <f t="shared" si="31"/>
        <v>741</v>
      </c>
    </row>
    <row r="459" spans="1:18" x14ac:dyDescent="0.25">
      <c r="A459" s="5" t="s">
        <v>722</v>
      </c>
      <c r="B459" s="3" t="s">
        <v>162</v>
      </c>
      <c r="C459" s="1" t="s">
        <v>82</v>
      </c>
      <c r="D459" s="1" t="s">
        <v>36</v>
      </c>
      <c r="E459" s="1">
        <v>51</v>
      </c>
      <c r="F459" s="1" t="s">
        <v>43</v>
      </c>
      <c r="G459" s="1" t="s">
        <v>44</v>
      </c>
      <c r="H459" s="1" t="s">
        <v>109</v>
      </c>
      <c r="I459" s="1" t="s">
        <v>50</v>
      </c>
      <c r="J459" s="1">
        <v>3</v>
      </c>
      <c r="K459" s="27">
        <v>80</v>
      </c>
      <c r="L459" s="27">
        <v>0.1</v>
      </c>
      <c r="M459" s="1" t="s">
        <v>58</v>
      </c>
      <c r="N459" s="1" t="s">
        <v>32</v>
      </c>
      <c r="O459" t="str">
        <f t="shared" si="28"/>
        <v>Apr</v>
      </c>
      <c r="P459" t="str">
        <f t="shared" si="29"/>
        <v>2026</v>
      </c>
      <c r="Q459" s="25">
        <f t="shared" si="30"/>
        <v>130</v>
      </c>
      <c r="R459" s="29">
        <f t="shared" si="31"/>
        <v>351</v>
      </c>
    </row>
    <row r="460" spans="1:18" x14ac:dyDescent="0.25">
      <c r="A460" s="5" t="s">
        <v>723</v>
      </c>
      <c r="B460" s="3" t="s">
        <v>344</v>
      </c>
      <c r="C460" s="1" t="s">
        <v>126</v>
      </c>
      <c r="D460" s="1" t="s">
        <v>19</v>
      </c>
      <c r="E460" s="1">
        <v>38</v>
      </c>
      <c r="F460" s="1" t="s">
        <v>88</v>
      </c>
      <c r="G460" s="1" t="s">
        <v>89</v>
      </c>
      <c r="H460" s="1" t="s">
        <v>49</v>
      </c>
      <c r="I460" s="1" t="s">
        <v>50</v>
      </c>
      <c r="J460" s="1">
        <v>9</v>
      </c>
      <c r="K460" s="27">
        <v>120</v>
      </c>
      <c r="L460" s="27">
        <v>0.05</v>
      </c>
      <c r="M460" s="1" t="s">
        <v>58</v>
      </c>
      <c r="N460" s="1" t="s">
        <v>32</v>
      </c>
      <c r="O460" t="str">
        <f t="shared" si="28"/>
        <v>Mar</v>
      </c>
      <c r="P460" t="str">
        <f t="shared" si="29"/>
        <v>2026</v>
      </c>
      <c r="Q460" s="25">
        <f t="shared" si="30"/>
        <v>170</v>
      </c>
      <c r="R460" s="29">
        <f t="shared" si="31"/>
        <v>1453.5</v>
      </c>
    </row>
    <row r="461" spans="1:18" x14ac:dyDescent="0.25">
      <c r="A461" s="5" t="s">
        <v>724</v>
      </c>
      <c r="B461" s="3" t="s">
        <v>468</v>
      </c>
      <c r="C461" s="1" t="s">
        <v>54</v>
      </c>
      <c r="D461" s="1" t="s">
        <v>36</v>
      </c>
      <c r="E461" s="1">
        <v>45</v>
      </c>
      <c r="F461" s="1" t="s">
        <v>37</v>
      </c>
      <c r="G461" s="1" t="s">
        <v>38</v>
      </c>
      <c r="H461" s="1" t="s">
        <v>22</v>
      </c>
      <c r="I461" s="1" t="s">
        <v>23</v>
      </c>
      <c r="J461" s="1">
        <v>9</v>
      </c>
      <c r="K461" s="27">
        <v>850</v>
      </c>
      <c r="L461" s="27">
        <v>0</v>
      </c>
      <c r="M461" s="1" t="s">
        <v>31</v>
      </c>
      <c r="N461" s="1" t="s">
        <v>25</v>
      </c>
      <c r="O461" t="str">
        <f t="shared" si="28"/>
        <v>Apr</v>
      </c>
      <c r="P461" t="str">
        <f t="shared" si="29"/>
        <v>2026</v>
      </c>
      <c r="Q461" s="25">
        <f t="shared" si="30"/>
        <v>900</v>
      </c>
      <c r="R461" s="29">
        <f t="shared" si="31"/>
        <v>8100</v>
      </c>
    </row>
    <row r="462" spans="1:18" x14ac:dyDescent="0.25">
      <c r="A462" s="5" t="s">
        <v>725</v>
      </c>
      <c r="B462" s="3" t="s">
        <v>277</v>
      </c>
      <c r="C462" s="1" t="s">
        <v>28</v>
      </c>
      <c r="D462" s="1" t="s">
        <v>36</v>
      </c>
      <c r="E462" s="1">
        <v>56</v>
      </c>
      <c r="F462" s="1" t="s">
        <v>29</v>
      </c>
      <c r="G462" s="1" t="s">
        <v>30</v>
      </c>
      <c r="H462" s="1" t="s">
        <v>49</v>
      </c>
      <c r="I462" s="1" t="s">
        <v>50</v>
      </c>
      <c r="J462" s="1">
        <v>9</v>
      </c>
      <c r="K462" s="27">
        <v>120</v>
      </c>
      <c r="L462" s="27">
        <v>0</v>
      </c>
      <c r="M462" s="1" t="s">
        <v>24</v>
      </c>
      <c r="N462" s="1" t="s">
        <v>55</v>
      </c>
      <c r="O462" t="str">
        <f t="shared" si="28"/>
        <v>Apr</v>
      </c>
      <c r="P462" t="str">
        <f t="shared" si="29"/>
        <v>2026</v>
      </c>
      <c r="Q462" s="25">
        <f t="shared" si="30"/>
        <v>170</v>
      </c>
      <c r="R462" s="29">
        <f t="shared" si="31"/>
        <v>1530</v>
      </c>
    </row>
    <row r="463" spans="1:18" x14ac:dyDescent="0.25">
      <c r="A463" s="5" t="s">
        <v>726</v>
      </c>
      <c r="B463" s="3" t="s">
        <v>681</v>
      </c>
      <c r="C463" s="1" t="s">
        <v>65</v>
      </c>
      <c r="D463" s="1" t="s">
        <v>36</v>
      </c>
      <c r="E463" s="1">
        <v>30</v>
      </c>
      <c r="F463" s="1" t="s">
        <v>43</v>
      </c>
      <c r="G463" s="1" t="s">
        <v>44</v>
      </c>
      <c r="H463" s="1" t="s">
        <v>22</v>
      </c>
      <c r="I463" s="1" t="s">
        <v>23</v>
      </c>
      <c r="J463" s="1">
        <v>10</v>
      </c>
      <c r="K463" s="27">
        <v>850</v>
      </c>
      <c r="L463" s="27">
        <v>0.15</v>
      </c>
      <c r="M463" s="1" t="s">
        <v>58</v>
      </c>
      <c r="N463" s="1" t="s">
        <v>25</v>
      </c>
      <c r="O463" t="str">
        <f t="shared" si="28"/>
        <v>Mar</v>
      </c>
      <c r="P463" t="str">
        <f t="shared" si="29"/>
        <v>2026</v>
      </c>
      <c r="Q463" s="25">
        <f t="shared" si="30"/>
        <v>900</v>
      </c>
      <c r="R463" s="29">
        <f t="shared" si="31"/>
        <v>7650</v>
      </c>
    </row>
    <row r="464" spans="1:18" x14ac:dyDescent="0.25">
      <c r="A464" s="5" t="s">
        <v>727</v>
      </c>
      <c r="B464" s="3" t="s">
        <v>81</v>
      </c>
      <c r="C464" s="1" t="s">
        <v>256</v>
      </c>
      <c r="D464" s="1" t="s">
        <v>36</v>
      </c>
      <c r="E464" s="1">
        <v>51</v>
      </c>
      <c r="F464" s="1" t="s">
        <v>29</v>
      </c>
      <c r="G464" s="1" t="s">
        <v>30</v>
      </c>
      <c r="H464" s="1" t="s">
        <v>73</v>
      </c>
      <c r="I464" s="1" t="s">
        <v>69</v>
      </c>
      <c r="J464" s="1">
        <v>9</v>
      </c>
      <c r="K464" s="27">
        <v>5</v>
      </c>
      <c r="L464" s="27">
        <v>0.1</v>
      </c>
      <c r="M464" s="1" t="s">
        <v>24</v>
      </c>
      <c r="N464" s="1" t="s">
        <v>51</v>
      </c>
      <c r="O464" t="str">
        <f t="shared" si="28"/>
        <v>Jan</v>
      </c>
      <c r="P464" t="str">
        <f t="shared" si="29"/>
        <v>2026</v>
      </c>
      <c r="Q464" s="25">
        <f t="shared" si="30"/>
        <v>55</v>
      </c>
      <c r="R464" s="29">
        <f t="shared" si="31"/>
        <v>445.5</v>
      </c>
    </row>
    <row r="465" spans="1:18" x14ac:dyDescent="0.25">
      <c r="A465" s="5" t="s">
        <v>728</v>
      </c>
      <c r="B465" s="3" t="s">
        <v>393</v>
      </c>
      <c r="C465" s="1" t="s">
        <v>126</v>
      </c>
      <c r="D465" s="1" t="s">
        <v>19</v>
      </c>
      <c r="E465" s="1">
        <v>59</v>
      </c>
      <c r="F465" s="1" t="s">
        <v>43</v>
      </c>
      <c r="G465" s="1" t="s">
        <v>44</v>
      </c>
      <c r="H465" s="1" t="s">
        <v>62</v>
      </c>
      <c r="I465" s="1" t="s">
        <v>23</v>
      </c>
      <c r="J465" s="1">
        <v>4</v>
      </c>
      <c r="K465" s="27">
        <v>15</v>
      </c>
      <c r="L465" s="27">
        <v>0</v>
      </c>
      <c r="M465" s="1" t="s">
        <v>39</v>
      </c>
      <c r="N465" s="1" t="s">
        <v>32</v>
      </c>
      <c r="O465" t="str">
        <f t="shared" si="28"/>
        <v>Jan</v>
      </c>
      <c r="P465" t="str">
        <f t="shared" si="29"/>
        <v>2026</v>
      </c>
      <c r="Q465" s="25">
        <f t="shared" si="30"/>
        <v>65</v>
      </c>
      <c r="R465" s="29">
        <f t="shared" si="31"/>
        <v>260</v>
      </c>
    </row>
    <row r="466" spans="1:18" x14ac:dyDescent="0.25">
      <c r="A466" s="5" t="s">
        <v>729</v>
      </c>
      <c r="B466" s="3" t="s">
        <v>579</v>
      </c>
      <c r="C466" s="1" t="s">
        <v>123</v>
      </c>
      <c r="D466" s="1" t="s">
        <v>19</v>
      </c>
      <c r="E466" s="1">
        <v>55</v>
      </c>
      <c r="F466" s="1" t="s">
        <v>37</v>
      </c>
      <c r="G466" s="1" t="s">
        <v>38</v>
      </c>
      <c r="H466" s="1" t="s">
        <v>118</v>
      </c>
      <c r="I466" s="1" t="s">
        <v>23</v>
      </c>
      <c r="J466" s="1">
        <v>10</v>
      </c>
      <c r="K466" s="27">
        <v>180</v>
      </c>
      <c r="L466" s="27">
        <v>0.15</v>
      </c>
      <c r="M466" s="1" t="s">
        <v>93</v>
      </c>
      <c r="N466" s="1" t="s">
        <v>55</v>
      </c>
      <c r="O466" t="str">
        <f t="shared" si="28"/>
        <v>Jun</v>
      </c>
      <c r="P466" t="str">
        <f t="shared" si="29"/>
        <v>2026</v>
      </c>
      <c r="Q466" s="25">
        <f t="shared" si="30"/>
        <v>230</v>
      </c>
      <c r="R466" s="29">
        <f t="shared" si="31"/>
        <v>1955</v>
      </c>
    </row>
    <row r="467" spans="1:18" x14ac:dyDescent="0.25">
      <c r="A467" s="5" t="s">
        <v>730</v>
      </c>
      <c r="B467" s="3" t="s">
        <v>107</v>
      </c>
      <c r="C467" s="1" t="s">
        <v>155</v>
      </c>
      <c r="D467" s="1" t="s">
        <v>36</v>
      </c>
      <c r="E467" s="1">
        <v>50</v>
      </c>
      <c r="F467" s="1" t="s">
        <v>88</v>
      </c>
      <c r="G467" s="1" t="s">
        <v>89</v>
      </c>
      <c r="H467" s="1" t="s">
        <v>68</v>
      </c>
      <c r="I467" s="1" t="s">
        <v>69</v>
      </c>
      <c r="J467" s="1">
        <v>1</v>
      </c>
      <c r="K467" s="27">
        <v>2</v>
      </c>
      <c r="L467" s="27">
        <v>0.05</v>
      </c>
      <c r="M467" s="1" t="s">
        <v>45</v>
      </c>
      <c r="N467" s="1" t="s">
        <v>51</v>
      </c>
      <c r="O467" t="str">
        <f t="shared" si="28"/>
        <v>Feb</v>
      </c>
      <c r="P467" t="str">
        <f t="shared" si="29"/>
        <v>2026</v>
      </c>
      <c r="Q467" s="25">
        <f t="shared" si="30"/>
        <v>52</v>
      </c>
      <c r="R467" s="29">
        <f t="shared" si="31"/>
        <v>49.4</v>
      </c>
    </row>
    <row r="468" spans="1:18" x14ac:dyDescent="0.25">
      <c r="A468" s="5" t="s">
        <v>731</v>
      </c>
      <c r="B468" s="3" t="s">
        <v>157</v>
      </c>
      <c r="C468" s="1" t="s">
        <v>155</v>
      </c>
      <c r="D468" s="1" t="s">
        <v>19</v>
      </c>
      <c r="E468" s="1">
        <v>20</v>
      </c>
      <c r="F468" s="1" t="s">
        <v>88</v>
      </c>
      <c r="G468" s="1" t="s">
        <v>89</v>
      </c>
      <c r="H468" s="1" t="s">
        <v>49</v>
      </c>
      <c r="I468" s="1" t="s">
        <v>50</v>
      </c>
      <c r="J468" s="1">
        <v>9</v>
      </c>
      <c r="K468" s="27">
        <v>120</v>
      </c>
      <c r="L468" s="27">
        <v>0</v>
      </c>
      <c r="M468" s="1" t="s">
        <v>24</v>
      </c>
      <c r="N468" s="1" t="s">
        <v>55</v>
      </c>
      <c r="O468" t="str">
        <f t="shared" si="28"/>
        <v>Feb</v>
      </c>
      <c r="P468" t="str">
        <f t="shared" si="29"/>
        <v>2026</v>
      </c>
      <c r="Q468" s="25">
        <f t="shared" si="30"/>
        <v>170</v>
      </c>
      <c r="R468" s="29">
        <f t="shared" si="31"/>
        <v>1530</v>
      </c>
    </row>
    <row r="469" spans="1:18" x14ac:dyDescent="0.25">
      <c r="A469" s="5" t="s">
        <v>732</v>
      </c>
      <c r="B469" s="3" t="s">
        <v>321</v>
      </c>
      <c r="C469" s="1" t="s">
        <v>145</v>
      </c>
      <c r="D469" s="1" t="s">
        <v>36</v>
      </c>
      <c r="E469" s="1">
        <v>28</v>
      </c>
      <c r="F469" s="1" t="s">
        <v>20</v>
      </c>
      <c r="G469" s="1" t="s">
        <v>21</v>
      </c>
      <c r="H469" s="1" t="s">
        <v>62</v>
      </c>
      <c r="I469" s="1" t="s">
        <v>23</v>
      </c>
      <c r="J469" s="1">
        <v>5</v>
      </c>
      <c r="K469" s="27">
        <v>15</v>
      </c>
      <c r="L469" s="27">
        <v>0.15</v>
      </c>
      <c r="M469" s="1" t="s">
        <v>24</v>
      </c>
      <c r="N469" s="1" t="s">
        <v>51</v>
      </c>
      <c r="O469" t="str">
        <f t="shared" si="28"/>
        <v>Feb</v>
      </c>
      <c r="P469" t="str">
        <f t="shared" si="29"/>
        <v>2026</v>
      </c>
      <c r="Q469" s="25">
        <f t="shared" si="30"/>
        <v>65</v>
      </c>
      <c r="R469" s="29">
        <f t="shared" si="31"/>
        <v>276.25</v>
      </c>
    </row>
    <row r="470" spans="1:18" x14ac:dyDescent="0.25">
      <c r="A470" s="5" t="s">
        <v>733</v>
      </c>
      <c r="B470" s="3" t="s">
        <v>138</v>
      </c>
      <c r="C470" s="1" t="s">
        <v>126</v>
      </c>
      <c r="D470" s="1" t="s">
        <v>36</v>
      </c>
      <c r="E470" s="1">
        <v>20</v>
      </c>
      <c r="F470" s="1" t="s">
        <v>29</v>
      </c>
      <c r="G470" s="1" t="s">
        <v>30</v>
      </c>
      <c r="H470" s="1" t="s">
        <v>22</v>
      </c>
      <c r="I470" s="1" t="s">
        <v>23</v>
      </c>
      <c r="J470" s="1">
        <v>8</v>
      </c>
      <c r="K470" s="27">
        <v>850</v>
      </c>
      <c r="L470" s="27">
        <v>0.05</v>
      </c>
      <c r="M470" s="1" t="s">
        <v>31</v>
      </c>
      <c r="N470" s="1" t="s">
        <v>25</v>
      </c>
      <c r="O470" t="str">
        <f t="shared" si="28"/>
        <v>Jun</v>
      </c>
      <c r="P470" t="str">
        <f t="shared" si="29"/>
        <v>2026</v>
      </c>
      <c r="Q470" s="25">
        <f t="shared" si="30"/>
        <v>900</v>
      </c>
      <c r="R470" s="29">
        <f t="shared" si="31"/>
        <v>6840</v>
      </c>
    </row>
    <row r="471" spans="1:18" x14ac:dyDescent="0.25">
      <c r="A471" s="5" t="s">
        <v>734</v>
      </c>
      <c r="B471" s="3" t="s">
        <v>700</v>
      </c>
      <c r="C471" s="1" t="s">
        <v>61</v>
      </c>
      <c r="D471" s="1" t="s">
        <v>19</v>
      </c>
      <c r="E471" s="1">
        <v>20</v>
      </c>
      <c r="F471" s="1" t="s">
        <v>29</v>
      </c>
      <c r="G471" s="1" t="s">
        <v>30</v>
      </c>
      <c r="H471" s="1" t="s">
        <v>118</v>
      </c>
      <c r="I471" s="1" t="s">
        <v>23</v>
      </c>
      <c r="J471" s="1">
        <v>1</v>
      </c>
      <c r="K471" s="27">
        <v>180</v>
      </c>
      <c r="L471" s="27">
        <v>0.05</v>
      </c>
      <c r="M471" s="1" t="s">
        <v>24</v>
      </c>
      <c r="N471" s="1" t="s">
        <v>55</v>
      </c>
      <c r="O471" t="str">
        <f t="shared" si="28"/>
        <v>Feb</v>
      </c>
      <c r="P471" t="str">
        <f t="shared" si="29"/>
        <v>2026</v>
      </c>
      <c r="Q471" s="25">
        <f t="shared" si="30"/>
        <v>230</v>
      </c>
      <c r="R471" s="29">
        <f t="shared" si="31"/>
        <v>218.5</v>
      </c>
    </row>
    <row r="472" spans="1:18" x14ac:dyDescent="0.25">
      <c r="A472" s="5" t="s">
        <v>735</v>
      </c>
      <c r="B472" s="3" t="s">
        <v>613</v>
      </c>
      <c r="C472" s="1" t="s">
        <v>243</v>
      </c>
      <c r="D472" s="1" t="s">
        <v>36</v>
      </c>
      <c r="E472" s="1">
        <v>38</v>
      </c>
      <c r="F472" s="1" t="s">
        <v>20</v>
      </c>
      <c r="G472" s="1" t="s">
        <v>21</v>
      </c>
      <c r="H472" s="1" t="s">
        <v>22</v>
      </c>
      <c r="I472" s="1" t="s">
        <v>23</v>
      </c>
      <c r="J472" s="1">
        <v>10</v>
      </c>
      <c r="K472" s="27">
        <v>850</v>
      </c>
      <c r="L472" s="27">
        <v>0.1</v>
      </c>
      <c r="M472" s="1" t="s">
        <v>31</v>
      </c>
      <c r="N472" s="1" t="s">
        <v>25</v>
      </c>
      <c r="O472" t="str">
        <f t="shared" si="28"/>
        <v>Jun</v>
      </c>
      <c r="P472" t="str">
        <f t="shared" si="29"/>
        <v>2026</v>
      </c>
      <c r="Q472" s="25">
        <f t="shared" si="30"/>
        <v>900</v>
      </c>
      <c r="R472" s="29">
        <f t="shared" si="31"/>
        <v>8100</v>
      </c>
    </row>
    <row r="473" spans="1:18" x14ac:dyDescent="0.25">
      <c r="A473" s="5" t="s">
        <v>736</v>
      </c>
      <c r="B473" s="3" t="s">
        <v>349</v>
      </c>
      <c r="C473" s="1" t="s">
        <v>152</v>
      </c>
      <c r="D473" s="1" t="s">
        <v>36</v>
      </c>
      <c r="E473" s="1">
        <v>41</v>
      </c>
      <c r="F473" s="1" t="s">
        <v>37</v>
      </c>
      <c r="G473" s="1" t="s">
        <v>38</v>
      </c>
      <c r="H473" s="1" t="s">
        <v>79</v>
      </c>
      <c r="I473" s="1" t="s">
        <v>23</v>
      </c>
      <c r="J473" s="1">
        <v>8</v>
      </c>
      <c r="K473" s="27">
        <v>500</v>
      </c>
      <c r="L473" s="27">
        <v>0.05</v>
      </c>
      <c r="M473" s="1" t="s">
        <v>31</v>
      </c>
      <c r="N473" s="1" t="s">
        <v>51</v>
      </c>
      <c r="O473" t="str">
        <f t="shared" si="28"/>
        <v>May</v>
      </c>
      <c r="P473" t="str">
        <f t="shared" si="29"/>
        <v>2026</v>
      </c>
      <c r="Q473" s="25">
        <f t="shared" si="30"/>
        <v>550</v>
      </c>
      <c r="R473" s="29">
        <f t="shared" si="31"/>
        <v>4180</v>
      </c>
    </row>
    <row r="474" spans="1:18" x14ac:dyDescent="0.25">
      <c r="A474" s="5" t="s">
        <v>737</v>
      </c>
      <c r="B474" s="3" t="s">
        <v>253</v>
      </c>
      <c r="C474" s="1" t="s">
        <v>152</v>
      </c>
      <c r="D474" s="1" t="s">
        <v>36</v>
      </c>
      <c r="E474" s="1">
        <v>33</v>
      </c>
      <c r="F474" s="1" t="s">
        <v>20</v>
      </c>
      <c r="G474" s="1" t="s">
        <v>21</v>
      </c>
      <c r="H474" s="1" t="s">
        <v>49</v>
      </c>
      <c r="I474" s="1" t="s">
        <v>50</v>
      </c>
      <c r="J474" s="1">
        <v>2</v>
      </c>
      <c r="K474" s="27">
        <v>120</v>
      </c>
      <c r="L474" s="27">
        <v>0.05</v>
      </c>
      <c r="M474" s="1" t="s">
        <v>31</v>
      </c>
      <c r="N474" s="1" t="s">
        <v>51</v>
      </c>
      <c r="O474" t="str">
        <f t="shared" si="28"/>
        <v>May</v>
      </c>
      <c r="P474" t="str">
        <f t="shared" si="29"/>
        <v>2026</v>
      </c>
      <c r="Q474" s="25">
        <f t="shared" si="30"/>
        <v>170</v>
      </c>
      <c r="R474" s="29">
        <f t="shared" si="31"/>
        <v>323</v>
      </c>
    </row>
    <row r="475" spans="1:18" x14ac:dyDescent="0.25">
      <c r="A475" s="5" t="s">
        <v>738</v>
      </c>
      <c r="B475" s="3" t="s">
        <v>185</v>
      </c>
      <c r="C475" s="1" t="s">
        <v>182</v>
      </c>
      <c r="D475" s="1" t="s">
        <v>36</v>
      </c>
      <c r="E475" s="1">
        <v>27</v>
      </c>
      <c r="F475" s="1" t="s">
        <v>29</v>
      </c>
      <c r="G475" s="1" t="s">
        <v>30</v>
      </c>
      <c r="H475" s="1" t="s">
        <v>73</v>
      </c>
      <c r="I475" s="1" t="s">
        <v>69</v>
      </c>
      <c r="J475" s="1">
        <v>10</v>
      </c>
      <c r="K475" s="27">
        <v>5</v>
      </c>
      <c r="L475" s="27">
        <v>0</v>
      </c>
      <c r="M475" s="1" t="s">
        <v>31</v>
      </c>
      <c r="N475" s="1" t="s">
        <v>25</v>
      </c>
      <c r="O475" t="str">
        <f t="shared" si="28"/>
        <v>Feb</v>
      </c>
      <c r="P475" t="str">
        <f t="shared" si="29"/>
        <v>2026</v>
      </c>
      <c r="Q475" s="25">
        <f t="shared" si="30"/>
        <v>55</v>
      </c>
      <c r="R475" s="29">
        <f t="shared" si="31"/>
        <v>550</v>
      </c>
    </row>
    <row r="476" spans="1:18" x14ac:dyDescent="0.25">
      <c r="A476" s="5" t="s">
        <v>739</v>
      </c>
      <c r="B476" s="3" t="s">
        <v>613</v>
      </c>
      <c r="C476" s="1" t="s">
        <v>117</v>
      </c>
      <c r="D476" s="1" t="s">
        <v>36</v>
      </c>
      <c r="E476" s="1">
        <v>40</v>
      </c>
      <c r="F476" s="1" t="s">
        <v>43</v>
      </c>
      <c r="G476" s="1" t="s">
        <v>44</v>
      </c>
      <c r="H476" s="1" t="s">
        <v>109</v>
      </c>
      <c r="I476" s="1" t="s">
        <v>50</v>
      </c>
      <c r="J476" s="1">
        <v>7</v>
      </c>
      <c r="K476" s="27">
        <v>80</v>
      </c>
      <c r="L476" s="27">
        <v>0.15</v>
      </c>
      <c r="M476" s="1" t="s">
        <v>58</v>
      </c>
      <c r="N476" s="1" t="s">
        <v>55</v>
      </c>
      <c r="O476" t="str">
        <f t="shared" si="28"/>
        <v>Jun</v>
      </c>
      <c r="P476" t="str">
        <f t="shared" si="29"/>
        <v>2026</v>
      </c>
      <c r="Q476" s="25">
        <f t="shared" si="30"/>
        <v>130</v>
      </c>
      <c r="R476" s="29">
        <f t="shared" si="31"/>
        <v>773.5</v>
      </c>
    </row>
    <row r="477" spans="1:18" x14ac:dyDescent="0.25">
      <c r="A477" s="5" t="s">
        <v>740</v>
      </c>
      <c r="B477" s="3" t="s">
        <v>237</v>
      </c>
      <c r="C477" s="1" t="s">
        <v>240</v>
      </c>
      <c r="D477" s="1" t="s">
        <v>19</v>
      </c>
      <c r="E477" s="1">
        <v>42</v>
      </c>
      <c r="F477" s="1" t="s">
        <v>37</v>
      </c>
      <c r="G477" s="1" t="s">
        <v>38</v>
      </c>
      <c r="H477" s="1" t="s">
        <v>73</v>
      </c>
      <c r="I477" s="1" t="s">
        <v>69</v>
      </c>
      <c r="J477" s="1">
        <v>5</v>
      </c>
      <c r="K477" s="27">
        <v>5</v>
      </c>
      <c r="L477" s="27">
        <v>0.1</v>
      </c>
      <c r="M477" s="1" t="s">
        <v>31</v>
      </c>
      <c r="N477" s="1" t="s">
        <v>55</v>
      </c>
      <c r="O477" t="str">
        <f t="shared" si="28"/>
        <v>Jan</v>
      </c>
      <c r="P477" t="str">
        <f t="shared" si="29"/>
        <v>2026</v>
      </c>
      <c r="Q477" s="25">
        <f t="shared" si="30"/>
        <v>55</v>
      </c>
      <c r="R477" s="29">
        <f t="shared" si="31"/>
        <v>247.5</v>
      </c>
    </row>
    <row r="478" spans="1:18" x14ac:dyDescent="0.25">
      <c r="A478" s="5" t="s">
        <v>741</v>
      </c>
      <c r="B478" s="3" t="s">
        <v>201</v>
      </c>
      <c r="C478" s="1" t="s">
        <v>48</v>
      </c>
      <c r="D478" s="1" t="s">
        <v>19</v>
      </c>
      <c r="E478" s="1">
        <v>23</v>
      </c>
      <c r="F478" s="1" t="s">
        <v>37</v>
      </c>
      <c r="G478" s="1" t="s">
        <v>38</v>
      </c>
      <c r="H478" s="1" t="s">
        <v>22</v>
      </c>
      <c r="I478" s="1" t="s">
        <v>23</v>
      </c>
      <c r="J478" s="1">
        <v>1</v>
      </c>
      <c r="K478" s="27">
        <v>850</v>
      </c>
      <c r="L478" s="27">
        <v>0.1</v>
      </c>
      <c r="M478" s="1" t="s">
        <v>31</v>
      </c>
      <c r="N478" s="1" t="s">
        <v>55</v>
      </c>
      <c r="O478" t="str">
        <f t="shared" si="28"/>
        <v>May</v>
      </c>
      <c r="P478" t="str">
        <f t="shared" si="29"/>
        <v>2026</v>
      </c>
      <c r="Q478" s="25">
        <f t="shared" si="30"/>
        <v>900</v>
      </c>
      <c r="R478" s="29">
        <f t="shared" si="31"/>
        <v>810</v>
      </c>
    </row>
    <row r="479" spans="1:18" x14ac:dyDescent="0.25">
      <c r="A479" s="5" t="s">
        <v>742</v>
      </c>
      <c r="B479" s="3" t="s">
        <v>138</v>
      </c>
      <c r="C479" s="1" t="s">
        <v>350</v>
      </c>
      <c r="D479" s="1" t="s">
        <v>36</v>
      </c>
      <c r="E479" s="1">
        <v>51</v>
      </c>
      <c r="F479" s="1" t="s">
        <v>29</v>
      </c>
      <c r="G479" s="1" t="s">
        <v>30</v>
      </c>
      <c r="H479" s="1" t="s">
        <v>79</v>
      </c>
      <c r="I479" s="1" t="s">
        <v>23</v>
      </c>
      <c r="J479" s="1">
        <v>6</v>
      </c>
      <c r="K479" s="27">
        <v>500</v>
      </c>
      <c r="L479" s="27">
        <v>0.05</v>
      </c>
      <c r="M479" s="1" t="s">
        <v>39</v>
      </c>
      <c r="N479" s="1" t="s">
        <v>32</v>
      </c>
      <c r="O479" t="str">
        <f t="shared" si="28"/>
        <v>Jun</v>
      </c>
      <c r="P479" t="str">
        <f t="shared" si="29"/>
        <v>2026</v>
      </c>
      <c r="Q479" s="25">
        <f t="shared" si="30"/>
        <v>550</v>
      </c>
      <c r="R479" s="29">
        <f t="shared" si="31"/>
        <v>3135</v>
      </c>
    </row>
    <row r="480" spans="1:18" x14ac:dyDescent="0.25">
      <c r="A480" s="5" t="s">
        <v>743</v>
      </c>
      <c r="B480" s="3" t="s">
        <v>128</v>
      </c>
      <c r="C480" s="1" t="s">
        <v>251</v>
      </c>
      <c r="D480" s="1" t="s">
        <v>19</v>
      </c>
      <c r="E480" s="1">
        <v>30</v>
      </c>
      <c r="F480" s="1" t="s">
        <v>20</v>
      </c>
      <c r="G480" s="1" t="s">
        <v>21</v>
      </c>
      <c r="H480" s="1" t="s">
        <v>109</v>
      </c>
      <c r="I480" s="1" t="s">
        <v>50</v>
      </c>
      <c r="J480" s="1">
        <v>3</v>
      </c>
      <c r="K480" s="27">
        <v>80</v>
      </c>
      <c r="L480" s="27">
        <v>0.15</v>
      </c>
      <c r="M480" s="1" t="s">
        <v>31</v>
      </c>
      <c r="N480" s="1" t="s">
        <v>32</v>
      </c>
      <c r="O480" t="str">
        <f t="shared" si="28"/>
        <v>Feb</v>
      </c>
      <c r="P480" t="str">
        <f t="shared" si="29"/>
        <v>2026</v>
      </c>
      <c r="Q480" s="25">
        <f t="shared" si="30"/>
        <v>130</v>
      </c>
      <c r="R480" s="29">
        <f t="shared" si="31"/>
        <v>331.5</v>
      </c>
    </row>
    <row r="481" spans="1:18" x14ac:dyDescent="0.25">
      <c r="A481" s="5" t="s">
        <v>744</v>
      </c>
      <c r="B481" s="3" t="s">
        <v>474</v>
      </c>
      <c r="C481" s="1" t="s">
        <v>72</v>
      </c>
      <c r="D481" s="1" t="s">
        <v>36</v>
      </c>
      <c r="E481" s="1">
        <v>34</v>
      </c>
      <c r="F481" s="1" t="s">
        <v>29</v>
      </c>
      <c r="G481" s="1" t="s">
        <v>30</v>
      </c>
      <c r="H481" s="1" t="s">
        <v>68</v>
      </c>
      <c r="I481" s="1" t="s">
        <v>69</v>
      </c>
      <c r="J481" s="1">
        <v>9</v>
      </c>
      <c r="K481" s="27">
        <v>2</v>
      </c>
      <c r="L481" s="27">
        <v>0</v>
      </c>
      <c r="M481" s="1" t="s">
        <v>45</v>
      </c>
      <c r="N481" s="1" t="s">
        <v>32</v>
      </c>
      <c r="O481" t="str">
        <f t="shared" si="28"/>
        <v>Apr</v>
      </c>
      <c r="P481" t="str">
        <f t="shared" si="29"/>
        <v>2026</v>
      </c>
      <c r="Q481" s="25">
        <f t="shared" si="30"/>
        <v>52</v>
      </c>
      <c r="R481" s="29">
        <f t="shared" si="31"/>
        <v>468</v>
      </c>
    </row>
    <row r="482" spans="1:18" x14ac:dyDescent="0.25">
      <c r="A482" s="5" t="s">
        <v>745</v>
      </c>
      <c r="B482" s="3" t="s">
        <v>235</v>
      </c>
      <c r="C482" s="1" t="s">
        <v>108</v>
      </c>
      <c r="D482" s="1" t="s">
        <v>19</v>
      </c>
      <c r="E482" s="1">
        <v>51</v>
      </c>
      <c r="F482" s="1" t="s">
        <v>43</v>
      </c>
      <c r="G482" s="1" t="s">
        <v>44</v>
      </c>
      <c r="H482" s="1" t="s">
        <v>49</v>
      </c>
      <c r="I482" s="1" t="s">
        <v>50</v>
      </c>
      <c r="J482" s="1">
        <v>5</v>
      </c>
      <c r="K482" s="27">
        <v>120</v>
      </c>
      <c r="L482" s="27">
        <v>0</v>
      </c>
      <c r="M482" s="1" t="s">
        <v>24</v>
      </c>
      <c r="N482" s="1" t="s">
        <v>25</v>
      </c>
      <c r="O482" t="str">
        <f t="shared" si="28"/>
        <v>May</v>
      </c>
      <c r="P482" t="str">
        <f t="shared" si="29"/>
        <v>2026</v>
      </c>
      <c r="Q482" s="25">
        <f t="shared" si="30"/>
        <v>170</v>
      </c>
      <c r="R482" s="29">
        <f t="shared" si="31"/>
        <v>850</v>
      </c>
    </row>
    <row r="483" spans="1:18" x14ac:dyDescent="0.25">
      <c r="A483" s="5" t="s">
        <v>746</v>
      </c>
      <c r="B483" s="3" t="s">
        <v>179</v>
      </c>
      <c r="C483" s="1" t="s">
        <v>105</v>
      </c>
      <c r="D483" s="1" t="s">
        <v>19</v>
      </c>
      <c r="E483" s="1">
        <v>20</v>
      </c>
      <c r="F483" s="1" t="s">
        <v>88</v>
      </c>
      <c r="G483" s="1" t="s">
        <v>89</v>
      </c>
      <c r="H483" s="1" t="s">
        <v>62</v>
      </c>
      <c r="I483" s="1" t="s">
        <v>23</v>
      </c>
      <c r="J483" s="1">
        <v>7</v>
      </c>
      <c r="K483" s="27">
        <v>15</v>
      </c>
      <c r="L483" s="27">
        <v>0.05</v>
      </c>
      <c r="M483" s="1" t="s">
        <v>39</v>
      </c>
      <c r="N483" s="1" t="s">
        <v>25</v>
      </c>
      <c r="O483" t="str">
        <f t="shared" si="28"/>
        <v>Jan</v>
      </c>
      <c r="P483" t="str">
        <f t="shared" si="29"/>
        <v>2026</v>
      </c>
      <c r="Q483" s="25">
        <f t="shared" si="30"/>
        <v>65</v>
      </c>
      <c r="R483" s="29">
        <f t="shared" si="31"/>
        <v>432.25</v>
      </c>
    </row>
    <row r="484" spans="1:18" x14ac:dyDescent="0.25">
      <c r="A484" s="5" t="s">
        <v>747</v>
      </c>
      <c r="B484" s="3" t="s">
        <v>57</v>
      </c>
      <c r="C484" s="1" t="s">
        <v>82</v>
      </c>
      <c r="D484" s="1" t="s">
        <v>36</v>
      </c>
      <c r="E484" s="1">
        <v>39</v>
      </c>
      <c r="F484" s="1" t="s">
        <v>29</v>
      </c>
      <c r="G484" s="1" t="s">
        <v>30</v>
      </c>
      <c r="H484" s="1" t="s">
        <v>79</v>
      </c>
      <c r="I484" s="1" t="s">
        <v>23</v>
      </c>
      <c r="J484" s="1">
        <v>8</v>
      </c>
      <c r="K484" s="27">
        <v>500</v>
      </c>
      <c r="L484" s="27">
        <v>0</v>
      </c>
      <c r="M484" s="1" t="s">
        <v>93</v>
      </c>
      <c r="N484" s="1" t="s">
        <v>25</v>
      </c>
      <c r="O484" t="str">
        <f t="shared" si="28"/>
        <v>Mar</v>
      </c>
      <c r="P484" t="str">
        <f t="shared" si="29"/>
        <v>2026</v>
      </c>
      <c r="Q484" s="25">
        <f t="shared" si="30"/>
        <v>550</v>
      </c>
      <c r="R484" s="29">
        <f t="shared" si="31"/>
        <v>4400</v>
      </c>
    </row>
    <row r="485" spans="1:18" x14ac:dyDescent="0.25">
      <c r="A485" s="5" t="s">
        <v>748</v>
      </c>
      <c r="B485" s="3" t="s">
        <v>170</v>
      </c>
      <c r="C485" s="1" t="s">
        <v>65</v>
      </c>
      <c r="D485" s="1" t="s">
        <v>36</v>
      </c>
      <c r="E485" s="1">
        <v>41</v>
      </c>
      <c r="F485" s="1" t="s">
        <v>88</v>
      </c>
      <c r="G485" s="1" t="s">
        <v>89</v>
      </c>
      <c r="H485" s="1" t="s">
        <v>62</v>
      </c>
      <c r="I485" s="1" t="s">
        <v>23</v>
      </c>
      <c r="J485" s="1">
        <v>8</v>
      </c>
      <c r="K485" s="27">
        <v>15</v>
      </c>
      <c r="L485" s="27">
        <v>0.05</v>
      </c>
      <c r="M485" s="1" t="s">
        <v>93</v>
      </c>
      <c r="N485" s="1" t="s">
        <v>32</v>
      </c>
      <c r="O485" t="str">
        <f t="shared" si="28"/>
        <v>May</v>
      </c>
      <c r="P485" t="str">
        <f t="shared" si="29"/>
        <v>2026</v>
      </c>
      <c r="Q485" s="25">
        <f t="shared" si="30"/>
        <v>65</v>
      </c>
      <c r="R485" s="29">
        <f t="shared" si="31"/>
        <v>494</v>
      </c>
    </row>
    <row r="486" spans="1:18" x14ac:dyDescent="0.25">
      <c r="A486" s="5" t="s">
        <v>749</v>
      </c>
      <c r="B486" s="3" t="s">
        <v>193</v>
      </c>
      <c r="C486" s="1" t="s">
        <v>126</v>
      </c>
      <c r="D486" s="1" t="s">
        <v>36</v>
      </c>
      <c r="E486" s="1">
        <v>58</v>
      </c>
      <c r="F486" s="1" t="s">
        <v>20</v>
      </c>
      <c r="G486" s="1" t="s">
        <v>21</v>
      </c>
      <c r="H486" s="1" t="s">
        <v>68</v>
      </c>
      <c r="I486" s="1" t="s">
        <v>69</v>
      </c>
      <c r="J486" s="1">
        <v>10</v>
      </c>
      <c r="K486" s="27">
        <v>2</v>
      </c>
      <c r="L486" s="27">
        <v>0.1</v>
      </c>
      <c r="M486" s="1" t="s">
        <v>58</v>
      </c>
      <c r="N486" s="1" t="s">
        <v>32</v>
      </c>
      <c r="O486" t="str">
        <f t="shared" si="28"/>
        <v>Apr</v>
      </c>
      <c r="P486" t="str">
        <f t="shared" si="29"/>
        <v>2026</v>
      </c>
      <c r="Q486" s="25">
        <f t="shared" si="30"/>
        <v>52</v>
      </c>
      <c r="R486" s="29">
        <f t="shared" si="31"/>
        <v>468</v>
      </c>
    </row>
    <row r="487" spans="1:18" x14ac:dyDescent="0.25">
      <c r="A487" s="5" t="s">
        <v>750</v>
      </c>
      <c r="B487" s="3" t="s">
        <v>751</v>
      </c>
      <c r="C487" s="1" t="s">
        <v>108</v>
      </c>
      <c r="D487" s="1" t="s">
        <v>36</v>
      </c>
      <c r="E487" s="1">
        <v>41</v>
      </c>
      <c r="F487" s="1" t="s">
        <v>88</v>
      </c>
      <c r="G487" s="1" t="s">
        <v>89</v>
      </c>
      <c r="H487" s="1" t="s">
        <v>118</v>
      </c>
      <c r="I487" s="1" t="s">
        <v>23</v>
      </c>
      <c r="J487" s="1">
        <v>2</v>
      </c>
      <c r="K487" s="27">
        <v>180</v>
      </c>
      <c r="L487" s="27">
        <v>0.05</v>
      </c>
      <c r="M487" s="1" t="s">
        <v>93</v>
      </c>
      <c r="N487" s="1" t="s">
        <v>25</v>
      </c>
      <c r="O487" t="str">
        <f t="shared" si="28"/>
        <v>Mar</v>
      </c>
      <c r="P487" t="str">
        <f t="shared" si="29"/>
        <v>2026</v>
      </c>
      <c r="Q487" s="25">
        <f t="shared" si="30"/>
        <v>230</v>
      </c>
      <c r="R487" s="29">
        <f t="shared" si="31"/>
        <v>437</v>
      </c>
    </row>
    <row r="488" spans="1:18" x14ac:dyDescent="0.25">
      <c r="A488" s="5" t="s">
        <v>752</v>
      </c>
      <c r="B488" s="3" t="s">
        <v>572</v>
      </c>
      <c r="C488" s="1" t="s">
        <v>233</v>
      </c>
      <c r="D488" s="1" t="s">
        <v>19</v>
      </c>
      <c r="E488" s="1">
        <v>23</v>
      </c>
      <c r="F488" s="1" t="s">
        <v>37</v>
      </c>
      <c r="G488" s="1" t="s">
        <v>38</v>
      </c>
      <c r="H488" s="1" t="s">
        <v>109</v>
      </c>
      <c r="I488" s="1" t="s">
        <v>50</v>
      </c>
      <c r="J488" s="1">
        <v>10</v>
      </c>
      <c r="K488" s="27">
        <v>80</v>
      </c>
      <c r="L488" s="27">
        <v>0.15</v>
      </c>
      <c r="M488" s="1" t="s">
        <v>24</v>
      </c>
      <c r="N488" s="1" t="s">
        <v>25</v>
      </c>
      <c r="O488" t="str">
        <f t="shared" si="28"/>
        <v>Jan</v>
      </c>
      <c r="P488" t="str">
        <f t="shared" si="29"/>
        <v>2026</v>
      </c>
      <c r="Q488" s="25">
        <f t="shared" si="30"/>
        <v>130</v>
      </c>
      <c r="R488" s="29">
        <f t="shared" si="31"/>
        <v>1105</v>
      </c>
    </row>
    <row r="489" spans="1:18" x14ac:dyDescent="0.25">
      <c r="A489" s="5" t="s">
        <v>753</v>
      </c>
      <c r="B489" s="3" t="s">
        <v>77</v>
      </c>
      <c r="C489" s="1" t="s">
        <v>114</v>
      </c>
      <c r="D489" s="1" t="s">
        <v>19</v>
      </c>
      <c r="E489" s="1">
        <v>36</v>
      </c>
      <c r="F489" s="1" t="s">
        <v>37</v>
      </c>
      <c r="G489" s="1" t="s">
        <v>38</v>
      </c>
      <c r="H489" s="1" t="s">
        <v>109</v>
      </c>
      <c r="I489" s="1" t="s">
        <v>50</v>
      </c>
      <c r="J489" s="1">
        <v>9</v>
      </c>
      <c r="K489" s="27">
        <v>80</v>
      </c>
      <c r="L489" s="27">
        <v>0.05</v>
      </c>
      <c r="M489" s="1" t="s">
        <v>45</v>
      </c>
      <c r="N489" s="1" t="s">
        <v>51</v>
      </c>
      <c r="O489" t="str">
        <f t="shared" si="28"/>
        <v>Mar</v>
      </c>
      <c r="P489" t="str">
        <f t="shared" si="29"/>
        <v>2026</v>
      </c>
      <c r="Q489" s="25">
        <f t="shared" si="30"/>
        <v>130</v>
      </c>
      <c r="R489" s="29">
        <f t="shared" si="31"/>
        <v>1111.5</v>
      </c>
    </row>
    <row r="490" spans="1:18" x14ac:dyDescent="0.25">
      <c r="A490" s="5" t="s">
        <v>754</v>
      </c>
      <c r="B490" s="3" t="s">
        <v>435</v>
      </c>
      <c r="C490" s="1" t="s">
        <v>149</v>
      </c>
      <c r="D490" s="1" t="s">
        <v>19</v>
      </c>
      <c r="E490" s="1">
        <v>25</v>
      </c>
      <c r="F490" s="1" t="s">
        <v>37</v>
      </c>
      <c r="G490" s="1" t="s">
        <v>38</v>
      </c>
      <c r="H490" s="1" t="s">
        <v>109</v>
      </c>
      <c r="I490" s="1" t="s">
        <v>50</v>
      </c>
      <c r="J490" s="1">
        <v>6</v>
      </c>
      <c r="K490" s="27">
        <v>80</v>
      </c>
      <c r="L490" s="27">
        <v>0</v>
      </c>
      <c r="M490" s="1" t="s">
        <v>93</v>
      </c>
      <c r="N490" s="1" t="s">
        <v>51</v>
      </c>
      <c r="O490" t="str">
        <f t="shared" si="28"/>
        <v>Jan</v>
      </c>
      <c r="P490" t="str">
        <f t="shared" si="29"/>
        <v>2026</v>
      </c>
      <c r="Q490" s="25">
        <f t="shared" si="30"/>
        <v>130</v>
      </c>
      <c r="R490" s="29">
        <f t="shared" si="31"/>
        <v>780</v>
      </c>
    </row>
    <row r="491" spans="1:18" x14ac:dyDescent="0.25">
      <c r="A491" s="5" t="s">
        <v>755</v>
      </c>
      <c r="B491" s="3" t="s">
        <v>291</v>
      </c>
      <c r="C491" s="1" t="s">
        <v>87</v>
      </c>
      <c r="D491" s="1" t="s">
        <v>36</v>
      </c>
      <c r="E491" s="1">
        <v>35</v>
      </c>
      <c r="F491" s="1" t="s">
        <v>43</v>
      </c>
      <c r="G491" s="1" t="s">
        <v>44</v>
      </c>
      <c r="H491" s="1" t="s">
        <v>118</v>
      </c>
      <c r="I491" s="1" t="s">
        <v>23</v>
      </c>
      <c r="J491" s="1">
        <v>1</v>
      </c>
      <c r="K491" s="27">
        <v>180</v>
      </c>
      <c r="L491" s="27">
        <v>0.1</v>
      </c>
      <c r="M491" s="1" t="s">
        <v>93</v>
      </c>
      <c r="N491" s="1" t="s">
        <v>32</v>
      </c>
      <c r="O491" t="str">
        <f t="shared" si="28"/>
        <v>Feb</v>
      </c>
      <c r="P491" t="str">
        <f t="shared" si="29"/>
        <v>2026</v>
      </c>
      <c r="Q491" s="25">
        <f t="shared" si="30"/>
        <v>230</v>
      </c>
      <c r="R491" s="29">
        <f t="shared" si="31"/>
        <v>207</v>
      </c>
    </row>
    <row r="492" spans="1:18" x14ac:dyDescent="0.25">
      <c r="A492" s="5" t="s">
        <v>756</v>
      </c>
      <c r="B492" s="3" t="s">
        <v>219</v>
      </c>
      <c r="C492" s="1" t="s">
        <v>268</v>
      </c>
      <c r="D492" s="1" t="s">
        <v>19</v>
      </c>
      <c r="E492" s="1">
        <v>43</v>
      </c>
      <c r="F492" s="1" t="s">
        <v>20</v>
      </c>
      <c r="G492" s="1" t="s">
        <v>21</v>
      </c>
      <c r="H492" s="1" t="s">
        <v>62</v>
      </c>
      <c r="I492" s="1" t="s">
        <v>23</v>
      </c>
      <c r="J492" s="1">
        <v>7</v>
      </c>
      <c r="K492" s="27">
        <v>15</v>
      </c>
      <c r="L492" s="27">
        <v>0.05</v>
      </c>
      <c r="M492" s="1" t="s">
        <v>24</v>
      </c>
      <c r="N492" s="1" t="s">
        <v>55</v>
      </c>
      <c r="O492" t="str">
        <f t="shared" si="28"/>
        <v>Jan</v>
      </c>
      <c r="P492" t="str">
        <f t="shared" si="29"/>
        <v>2026</v>
      </c>
      <c r="Q492" s="25">
        <f t="shared" si="30"/>
        <v>65</v>
      </c>
      <c r="R492" s="29">
        <f t="shared" si="31"/>
        <v>432.25</v>
      </c>
    </row>
    <row r="493" spans="1:18" x14ac:dyDescent="0.25">
      <c r="A493" s="5" t="s">
        <v>757</v>
      </c>
      <c r="B493" s="3" t="s">
        <v>375</v>
      </c>
      <c r="C493" s="1" t="s">
        <v>28</v>
      </c>
      <c r="D493" s="1" t="s">
        <v>36</v>
      </c>
      <c r="E493" s="1">
        <v>43</v>
      </c>
      <c r="F493" s="1" t="s">
        <v>37</v>
      </c>
      <c r="G493" s="1" t="s">
        <v>38</v>
      </c>
      <c r="H493" s="1" t="s">
        <v>22</v>
      </c>
      <c r="I493" s="1" t="s">
        <v>23</v>
      </c>
      <c r="J493" s="1">
        <v>8</v>
      </c>
      <c r="K493" s="27">
        <v>850</v>
      </c>
      <c r="L493" s="27">
        <v>0.15</v>
      </c>
      <c r="M493" s="1" t="s">
        <v>31</v>
      </c>
      <c r="N493" s="1" t="s">
        <v>55</v>
      </c>
      <c r="O493" t="str">
        <f t="shared" si="28"/>
        <v>Apr</v>
      </c>
      <c r="P493" t="str">
        <f t="shared" si="29"/>
        <v>2026</v>
      </c>
      <c r="Q493" s="25">
        <f t="shared" si="30"/>
        <v>900</v>
      </c>
      <c r="R493" s="29">
        <f t="shared" si="31"/>
        <v>6120</v>
      </c>
    </row>
    <row r="494" spans="1:18" x14ac:dyDescent="0.25">
      <c r="A494" s="5" t="s">
        <v>758</v>
      </c>
      <c r="B494" s="3" t="s">
        <v>219</v>
      </c>
      <c r="C494" s="1" t="s">
        <v>96</v>
      </c>
      <c r="D494" s="1" t="s">
        <v>19</v>
      </c>
      <c r="E494" s="1">
        <v>33</v>
      </c>
      <c r="F494" s="1" t="s">
        <v>20</v>
      </c>
      <c r="G494" s="1" t="s">
        <v>21</v>
      </c>
      <c r="H494" s="1" t="s">
        <v>118</v>
      </c>
      <c r="I494" s="1" t="s">
        <v>23</v>
      </c>
      <c r="J494" s="1">
        <v>7</v>
      </c>
      <c r="K494" s="27">
        <v>180</v>
      </c>
      <c r="L494" s="27">
        <v>0.1</v>
      </c>
      <c r="M494" s="1" t="s">
        <v>24</v>
      </c>
      <c r="N494" s="1" t="s">
        <v>32</v>
      </c>
      <c r="O494" t="str">
        <f t="shared" si="28"/>
        <v>Jan</v>
      </c>
      <c r="P494" t="str">
        <f t="shared" si="29"/>
        <v>2026</v>
      </c>
      <c r="Q494" s="25">
        <f t="shared" si="30"/>
        <v>230</v>
      </c>
      <c r="R494" s="29">
        <f t="shared" si="31"/>
        <v>1449</v>
      </c>
    </row>
    <row r="495" spans="1:18" x14ac:dyDescent="0.25">
      <c r="A495" s="5" t="s">
        <v>759</v>
      </c>
      <c r="B495" s="3" t="s">
        <v>225</v>
      </c>
      <c r="C495" s="1" t="s">
        <v>188</v>
      </c>
      <c r="D495" s="1" t="s">
        <v>36</v>
      </c>
      <c r="E495" s="1">
        <v>31</v>
      </c>
      <c r="F495" s="1" t="s">
        <v>29</v>
      </c>
      <c r="G495" s="1" t="s">
        <v>30</v>
      </c>
      <c r="H495" s="1" t="s">
        <v>62</v>
      </c>
      <c r="I495" s="1" t="s">
        <v>23</v>
      </c>
      <c r="J495" s="1">
        <v>2</v>
      </c>
      <c r="K495" s="27">
        <v>15</v>
      </c>
      <c r="L495" s="27">
        <v>0.05</v>
      </c>
      <c r="M495" s="1" t="s">
        <v>24</v>
      </c>
      <c r="N495" s="1" t="s">
        <v>51</v>
      </c>
      <c r="O495" t="str">
        <f t="shared" si="28"/>
        <v>Mar</v>
      </c>
      <c r="P495" t="str">
        <f t="shared" si="29"/>
        <v>2026</v>
      </c>
      <c r="Q495" s="25">
        <f t="shared" si="30"/>
        <v>65</v>
      </c>
      <c r="R495" s="29">
        <f t="shared" si="31"/>
        <v>123.5</v>
      </c>
    </row>
    <row r="496" spans="1:18" x14ac:dyDescent="0.25">
      <c r="A496" s="5" t="s">
        <v>760</v>
      </c>
      <c r="B496" s="3" t="s">
        <v>637</v>
      </c>
      <c r="C496" s="1" t="s">
        <v>78</v>
      </c>
      <c r="D496" s="1" t="s">
        <v>36</v>
      </c>
      <c r="E496" s="1">
        <v>51</v>
      </c>
      <c r="F496" s="1" t="s">
        <v>88</v>
      </c>
      <c r="G496" s="1" t="s">
        <v>89</v>
      </c>
      <c r="H496" s="1" t="s">
        <v>118</v>
      </c>
      <c r="I496" s="1" t="s">
        <v>23</v>
      </c>
      <c r="J496" s="1">
        <v>3</v>
      </c>
      <c r="K496" s="27">
        <v>180</v>
      </c>
      <c r="L496" s="27">
        <v>0.05</v>
      </c>
      <c r="M496" s="1" t="s">
        <v>93</v>
      </c>
      <c r="N496" s="1" t="s">
        <v>51</v>
      </c>
      <c r="O496" t="str">
        <f t="shared" si="28"/>
        <v>Jan</v>
      </c>
      <c r="P496" t="str">
        <f t="shared" si="29"/>
        <v>2026</v>
      </c>
      <c r="Q496" s="25">
        <f t="shared" si="30"/>
        <v>230</v>
      </c>
      <c r="R496" s="29">
        <f t="shared" si="31"/>
        <v>655.5</v>
      </c>
    </row>
    <row r="497" spans="1:18" x14ac:dyDescent="0.25">
      <c r="A497" s="5" t="s">
        <v>761</v>
      </c>
      <c r="B497" s="3" t="s">
        <v>393</v>
      </c>
      <c r="C497" s="1" t="s">
        <v>155</v>
      </c>
      <c r="D497" s="1" t="s">
        <v>19</v>
      </c>
      <c r="E497" s="1">
        <v>26</v>
      </c>
      <c r="F497" s="1" t="s">
        <v>88</v>
      </c>
      <c r="G497" s="1" t="s">
        <v>89</v>
      </c>
      <c r="H497" s="1" t="s">
        <v>49</v>
      </c>
      <c r="I497" s="1" t="s">
        <v>50</v>
      </c>
      <c r="J497" s="1">
        <v>1</v>
      </c>
      <c r="K497" s="27">
        <v>120</v>
      </c>
      <c r="L497" s="27">
        <v>0.1</v>
      </c>
      <c r="M497" s="1" t="s">
        <v>39</v>
      </c>
      <c r="N497" s="1" t="s">
        <v>25</v>
      </c>
      <c r="O497" t="str">
        <f t="shared" si="28"/>
        <v>Jan</v>
      </c>
      <c r="P497" t="str">
        <f t="shared" si="29"/>
        <v>2026</v>
      </c>
      <c r="Q497" s="25">
        <f t="shared" si="30"/>
        <v>170</v>
      </c>
      <c r="R497" s="29">
        <f t="shared" si="31"/>
        <v>153</v>
      </c>
    </row>
    <row r="498" spans="1:18" x14ac:dyDescent="0.25">
      <c r="A498" s="5" t="s">
        <v>762</v>
      </c>
      <c r="B498" s="3" t="s">
        <v>138</v>
      </c>
      <c r="C498" s="1" t="s">
        <v>117</v>
      </c>
      <c r="D498" s="1" t="s">
        <v>19</v>
      </c>
      <c r="E498" s="1">
        <v>37</v>
      </c>
      <c r="F498" s="1" t="s">
        <v>29</v>
      </c>
      <c r="G498" s="1" t="s">
        <v>30</v>
      </c>
      <c r="H498" s="1" t="s">
        <v>68</v>
      </c>
      <c r="I498" s="1" t="s">
        <v>69</v>
      </c>
      <c r="J498" s="1">
        <v>9</v>
      </c>
      <c r="K498" s="27">
        <v>2</v>
      </c>
      <c r="L498" s="27">
        <v>0.15</v>
      </c>
      <c r="M498" s="1" t="s">
        <v>24</v>
      </c>
      <c r="N498" s="1" t="s">
        <v>25</v>
      </c>
      <c r="O498" t="str">
        <f t="shared" si="28"/>
        <v>Jun</v>
      </c>
      <c r="P498" t="str">
        <f t="shared" si="29"/>
        <v>2026</v>
      </c>
      <c r="Q498" s="25">
        <f t="shared" si="30"/>
        <v>52</v>
      </c>
      <c r="R498" s="29">
        <f t="shared" si="31"/>
        <v>397.8</v>
      </c>
    </row>
    <row r="499" spans="1:18" x14ac:dyDescent="0.25">
      <c r="A499" s="5" t="s">
        <v>763</v>
      </c>
      <c r="B499" s="3" t="s">
        <v>390</v>
      </c>
      <c r="C499" s="1" t="s">
        <v>350</v>
      </c>
      <c r="D499" s="1" t="s">
        <v>19</v>
      </c>
      <c r="E499" s="1">
        <v>31</v>
      </c>
      <c r="F499" s="1" t="s">
        <v>20</v>
      </c>
      <c r="G499" s="1" t="s">
        <v>21</v>
      </c>
      <c r="H499" s="1" t="s">
        <v>118</v>
      </c>
      <c r="I499" s="1" t="s">
        <v>23</v>
      </c>
      <c r="J499" s="1">
        <v>3</v>
      </c>
      <c r="K499" s="27">
        <v>180</v>
      </c>
      <c r="L499" s="27">
        <v>0</v>
      </c>
      <c r="M499" s="1" t="s">
        <v>39</v>
      </c>
      <c r="N499" s="1" t="s">
        <v>55</v>
      </c>
      <c r="O499" t="str">
        <f t="shared" si="28"/>
        <v>Apr</v>
      </c>
      <c r="P499" t="str">
        <f t="shared" si="29"/>
        <v>2026</v>
      </c>
      <c r="Q499" s="25">
        <f t="shared" si="30"/>
        <v>230</v>
      </c>
      <c r="R499" s="29">
        <f t="shared" si="31"/>
        <v>690</v>
      </c>
    </row>
    <row r="500" spans="1:18" x14ac:dyDescent="0.25">
      <c r="A500" s="5" t="s">
        <v>764</v>
      </c>
      <c r="B500" s="3" t="s">
        <v>265</v>
      </c>
      <c r="C500" s="1" t="s">
        <v>152</v>
      </c>
      <c r="D500" s="1" t="s">
        <v>36</v>
      </c>
      <c r="E500" s="1">
        <v>28</v>
      </c>
      <c r="F500" s="1" t="s">
        <v>37</v>
      </c>
      <c r="G500" s="1" t="s">
        <v>38</v>
      </c>
      <c r="H500" s="1" t="s">
        <v>22</v>
      </c>
      <c r="I500" s="1" t="s">
        <v>23</v>
      </c>
      <c r="J500" s="1">
        <v>10</v>
      </c>
      <c r="K500" s="27">
        <v>850</v>
      </c>
      <c r="L500" s="27">
        <v>0.05</v>
      </c>
      <c r="M500" s="1" t="s">
        <v>93</v>
      </c>
      <c r="N500" s="1" t="s">
        <v>55</v>
      </c>
      <c r="O500" t="str">
        <f t="shared" si="28"/>
        <v>Jan</v>
      </c>
      <c r="P500" t="str">
        <f t="shared" si="29"/>
        <v>2026</v>
      </c>
      <c r="Q500" s="25">
        <f t="shared" si="30"/>
        <v>900</v>
      </c>
      <c r="R500" s="29">
        <f t="shared" si="31"/>
        <v>8550</v>
      </c>
    </row>
    <row r="501" spans="1:18" x14ac:dyDescent="0.25">
      <c r="A501" s="5" t="s">
        <v>765</v>
      </c>
      <c r="B501" s="3" t="s">
        <v>255</v>
      </c>
      <c r="C501" s="1" t="s">
        <v>152</v>
      </c>
      <c r="D501" s="1" t="s">
        <v>36</v>
      </c>
      <c r="E501" s="1">
        <v>26</v>
      </c>
      <c r="F501" s="1" t="s">
        <v>20</v>
      </c>
      <c r="G501" s="1" t="s">
        <v>21</v>
      </c>
      <c r="H501" s="1" t="s">
        <v>49</v>
      </c>
      <c r="I501" s="1" t="s">
        <v>50</v>
      </c>
      <c r="J501" s="1">
        <v>9</v>
      </c>
      <c r="K501" s="27">
        <v>120</v>
      </c>
      <c r="L501" s="27">
        <v>0.1</v>
      </c>
      <c r="M501" s="1" t="s">
        <v>31</v>
      </c>
      <c r="N501" s="1" t="s">
        <v>51</v>
      </c>
      <c r="O501" t="str">
        <f t="shared" si="28"/>
        <v>Jan</v>
      </c>
      <c r="P501" t="str">
        <f t="shared" si="29"/>
        <v>2026</v>
      </c>
      <c r="Q501" s="25">
        <f t="shared" si="30"/>
        <v>170</v>
      </c>
      <c r="R501" s="29">
        <f t="shared" si="31"/>
        <v>1377</v>
      </c>
    </row>
    <row r="502" spans="1:18" x14ac:dyDescent="0.25">
      <c r="A502" s="21"/>
      <c r="B502" s="22"/>
      <c r="C502" s="23"/>
      <c r="D502" s="23"/>
      <c r="E502" s="23"/>
      <c r="F502" s="23"/>
      <c r="G502" s="23"/>
      <c r="H502" s="23"/>
      <c r="I502" s="23"/>
      <c r="J502" s="23"/>
      <c r="K502" s="28"/>
      <c r="L502" s="28"/>
      <c r="M502" s="23"/>
      <c r="N502" s="23"/>
    </row>
  </sheetData>
  <conditionalFormatting sqref="V45:W51">
    <cfRule type="containsText" dxfId="6" priority="3" operator="containsText" text="no">
      <formula>NOT(ISERROR(SEARCH("no",V45)))</formula>
    </cfRule>
    <cfRule type="containsText" dxfId="5" priority="4" operator="containsText" text="YES">
      <formula>NOT(ISERROR(SEARCH("YES",V45)))</formula>
    </cfRule>
  </conditionalFormatting>
  <conditionalFormatting sqref="W37:W41">
    <cfRule type="containsText" dxfId="4" priority="2" operator="containsText" text="SalesUP">
      <formula>NOT(ISERROR(SEARCH("SalesUP",W37)))</formula>
    </cfRule>
  </conditionalFormatting>
  <conditionalFormatting sqref="X37:X41">
    <cfRule type="containsText" dxfId="3" priority="1" operator="containsText" text="SalesUp">
      <formula>NOT(ISERROR(SEARCH("SalesUp",X37)))</formula>
    </cfRule>
  </conditionalFormatting>
  <pageMargins left="0.75" right="0.75" top="1" bottom="1" header="0.5" footer="0.5"/>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F42A3-824A-4898-8B80-4FA1E77A9132}">
  <dimension ref="A1:N501"/>
  <sheetViews>
    <sheetView workbookViewId="0">
      <pane ySplit="1" topLeftCell="A2" activePane="bottomLeft" state="frozen"/>
      <selection pane="bottomLeft" activeCell="P21" sqref="P21"/>
    </sheetView>
  </sheetViews>
  <sheetFormatPr defaultColWidth="7.5703125" defaultRowHeight="15" x14ac:dyDescent="0.25"/>
  <cols>
    <col min="2" max="2" width="7.5703125" style="4"/>
  </cols>
  <sheetData>
    <row r="1" spans="1:14" s="2" customFormat="1" x14ac:dyDescent="0.25">
      <c r="A1" s="11" t="s">
        <v>0</v>
      </c>
      <c r="B1" s="12" t="s">
        <v>1</v>
      </c>
      <c r="C1" s="11" t="s">
        <v>2</v>
      </c>
      <c r="D1" s="11" t="s">
        <v>3</v>
      </c>
      <c r="E1" s="11" t="s">
        <v>4</v>
      </c>
      <c r="F1" s="11" t="s">
        <v>5</v>
      </c>
      <c r="G1" s="11" t="s">
        <v>6</v>
      </c>
      <c r="H1" s="11" t="s">
        <v>7</v>
      </c>
      <c r="I1" s="11" t="s">
        <v>8</v>
      </c>
      <c r="J1" s="11" t="s">
        <v>9</v>
      </c>
      <c r="K1" s="11" t="s">
        <v>10</v>
      </c>
      <c r="L1" s="11" t="s">
        <v>11</v>
      </c>
      <c r="M1" s="11" t="s">
        <v>12</v>
      </c>
      <c r="N1" s="11" t="s">
        <v>13</v>
      </c>
    </row>
    <row r="2" spans="1:14" x14ac:dyDescent="0.25">
      <c r="A2" s="1" t="s">
        <v>16</v>
      </c>
      <c r="B2" s="3" t="s">
        <v>17</v>
      </c>
      <c r="C2" s="1" t="s">
        <v>18</v>
      </c>
      <c r="D2" s="1" t="s">
        <v>19</v>
      </c>
      <c r="E2" s="1">
        <v>35</v>
      </c>
      <c r="F2" s="1" t="s">
        <v>20</v>
      </c>
      <c r="G2" s="1" t="s">
        <v>21</v>
      </c>
      <c r="H2" s="1" t="s">
        <v>22</v>
      </c>
      <c r="I2" s="1" t="s">
        <v>23</v>
      </c>
      <c r="J2" s="1">
        <v>10</v>
      </c>
      <c r="K2" s="1">
        <v>850</v>
      </c>
      <c r="L2" s="1">
        <v>0.05</v>
      </c>
      <c r="M2" s="1" t="s">
        <v>24</v>
      </c>
      <c r="N2" s="1" t="s">
        <v>25</v>
      </c>
    </row>
    <row r="3" spans="1:14" x14ac:dyDescent="0.25">
      <c r="A3" s="1" t="s">
        <v>26</v>
      </c>
      <c r="B3" s="3" t="s">
        <v>27</v>
      </c>
      <c r="C3" s="1" t="s">
        <v>28</v>
      </c>
      <c r="D3" s="1" t="s">
        <v>19</v>
      </c>
      <c r="E3" s="1">
        <v>44</v>
      </c>
      <c r="F3" s="1" t="s">
        <v>29</v>
      </c>
      <c r="G3" s="1" t="s">
        <v>30</v>
      </c>
      <c r="H3" s="1" t="s">
        <v>22</v>
      </c>
      <c r="I3" s="1" t="s">
        <v>23</v>
      </c>
      <c r="J3" s="1">
        <v>7</v>
      </c>
      <c r="K3" s="1">
        <v>850</v>
      </c>
      <c r="L3" s="1">
        <v>0</v>
      </c>
      <c r="M3" s="1" t="s">
        <v>31</v>
      </c>
      <c r="N3" s="1" t="s">
        <v>32</v>
      </c>
    </row>
    <row r="4" spans="1:14" x14ac:dyDescent="0.25">
      <c r="A4" s="1" t="s">
        <v>33</v>
      </c>
      <c r="B4" s="3" t="s">
        <v>34</v>
      </c>
      <c r="C4" s="1" t="s">
        <v>35</v>
      </c>
      <c r="D4" s="1" t="s">
        <v>36</v>
      </c>
      <c r="E4" s="1">
        <v>47</v>
      </c>
      <c r="F4" s="1" t="s">
        <v>37</v>
      </c>
      <c r="G4" s="1" t="s">
        <v>38</v>
      </c>
      <c r="H4" s="1" t="s">
        <v>22</v>
      </c>
      <c r="I4" s="1" t="s">
        <v>23</v>
      </c>
      <c r="J4" s="1">
        <v>10</v>
      </c>
      <c r="K4" s="1">
        <v>850</v>
      </c>
      <c r="L4" s="1">
        <v>0.05</v>
      </c>
      <c r="M4" s="1" t="s">
        <v>39</v>
      </c>
      <c r="N4" s="1" t="s">
        <v>25</v>
      </c>
    </row>
    <row r="5" spans="1:14" x14ac:dyDescent="0.25">
      <c r="A5" s="1" t="s">
        <v>40</v>
      </c>
      <c r="B5" s="3" t="s">
        <v>41</v>
      </c>
      <c r="C5" s="1" t="s">
        <v>42</v>
      </c>
      <c r="D5" s="1" t="s">
        <v>19</v>
      </c>
      <c r="E5" s="1">
        <v>47</v>
      </c>
      <c r="F5" s="1" t="s">
        <v>43</v>
      </c>
      <c r="G5" s="1" t="s">
        <v>44</v>
      </c>
      <c r="H5" s="1" t="s">
        <v>22</v>
      </c>
      <c r="I5" s="1" t="s">
        <v>23</v>
      </c>
      <c r="J5" s="1">
        <v>2</v>
      </c>
      <c r="K5" s="1">
        <v>850</v>
      </c>
      <c r="L5" s="1">
        <v>0.05</v>
      </c>
      <c r="M5" s="1" t="s">
        <v>45</v>
      </c>
      <c r="N5" s="1" t="s">
        <v>32</v>
      </c>
    </row>
    <row r="6" spans="1:14" x14ac:dyDescent="0.25">
      <c r="A6" s="1" t="s">
        <v>46</v>
      </c>
      <c r="B6" s="3" t="s">
        <v>47</v>
      </c>
      <c r="C6" s="1" t="s">
        <v>48</v>
      </c>
      <c r="D6" s="1" t="s">
        <v>36</v>
      </c>
      <c r="E6" s="1">
        <v>50</v>
      </c>
      <c r="F6" s="1" t="s">
        <v>37</v>
      </c>
      <c r="G6" s="1" t="s">
        <v>38</v>
      </c>
      <c r="H6" s="1" t="s">
        <v>49</v>
      </c>
      <c r="I6" s="1" t="s">
        <v>50</v>
      </c>
      <c r="J6" s="1">
        <v>5</v>
      </c>
      <c r="K6" s="1">
        <v>120</v>
      </c>
      <c r="L6" s="1">
        <v>0.05</v>
      </c>
      <c r="M6" s="1" t="s">
        <v>39</v>
      </c>
      <c r="N6" s="1" t="s">
        <v>51</v>
      </c>
    </row>
    <row r="7" spans="1:14" x14ac:dyDescent="0.25">
      <c r="A7" s="1" t="s">
        <v>52</v>
      </c>
      <c r="B7" s="3" t="s">
        <v>53</v>
      </c>
      <c r="C7" s="1" t="s">
        <v>54</v>
      </c>
      <c r="D7" s="1" t="s">
        <v>19</v>
      </c>
      <c r="E7" s="1">
        <v>34</v>
      </c>
      <c r="F7" s="1" t="s">
        <v>43</v>
      </c>
      <c r="G7" s="1" t="s">
        <v>44</v>
      </c>
      <c r="H7" s="1" t="s">
        <v>49</v>
      </c>
      <c r="I7" s="1" t="s">
        <v>50</v>
      </c>
      <c r="J7" s="1">
        <v>5</v>
      </c>
      <c r="K7" s="1">
        <v>120</v>
      </c>
      <c r="L7" s="1">
        <v>0.15</v>
      </c>
      <c r="M7" s="1" t="s">
        <v>24</v>
      </c>
      <c r="N7" s="1" t="s">
        <v>55</v>
      </c>
    </row>
    <row r="8" spans="1:14" x14ac:dyDescent="0.25">
      <c r="A8" s="1" t="s">
        <v>56</v>
      </c>
      <c r="B8" s="3" t="s">
        <v>57</v>
      </c>
      <c r="C8" s="1" t="s">
        <v>28</v>
      </c>
      <c r="D8" s="1" t="s">
        <v>36</v>
      </c>
      <c r="E8" s="1">
        <v>42</v>
      </c>
      <c r="F8" s="1" t="s">
        <v>37</v>
      </c>
      <c r="G8" s="1" t="s">
        <v>38</v>
      </c>
      <c r="H8" s="1" t="s">
        <v>49</v>
      </c>
      <c r="I8" s="1" t="s">
        <v>50</v>
      </c>
      <c r="J8" s="1">
        <v>7</v>
      </c>
      <c r="K8" s="1">
        <v>120</v>
      </c>
      <c r="L8" s="1">
        <v>0.1</v>
      </c>
      <c r="M8" s="1" t="s">
        <v>58</v>
      </c>
      <c r="N8" s="1" t="s">
        <v>25</v>
      </c>
    </row>
    <row r="9" spans="1:14" x14ac:dyDescent="0.25">
      <c r="A9" s="1" t="s">
        <v>59</v>
      </c>
      <c r="B9" s="3" t="s">
        <v>60</v>
      </c>
      <c r="C9" s="1" t="s">
        <v>61</v>
      </c>
      <c r="D9" s="1" t="s">
        <v>36</v>
      </c>
      <c r="E9" s="1">
        <v>45</v>
      </c>
      <c r="F9" s="1" t="s">
        <v>37</v>
      </c>
      <c r="G9" s="1" t="s">
        <v>38</v>
      </c>
      <c r="H9" s="1" t="s">
        <v>62</v>
      </c>
      <c r="I9" s="1" t="s">
        <v>23</v>
      </c>
      <c r="J9" s="1">
        <v>5</v>
      </c>
      <c r="K9" s="1">
        <v>15</v>
      </c>
      <c r="L9" s="1">
        <v>0</v>
      </c>
      <c r="M9" s="1" t="s">
        <v>24</v>
      </c>
      <c r="N9" s="1" t="s">
        <v>55</v>
      </c>
    </row>
    <row r="10" spans="1:14" x14ac:dyDescent="0.25">
      <c r="A10" s="1" t="s">
        <v>63</v>
      </c>
      <c r="B10" s="3" t="s">
        <v>64</v>
      </c>
      <c r="C10" s="1" t="s">
        <v>65</v>
      </c>
      <c r="D10" s="1" t="s">
        <v>36</v>
      </c>
      <c r="E10" s="1">
        <v>59</v>
      </c>
      <c r="F10" s="1" t="s">
        <v>29</v>
      </c>
      <c r="G10" s="1" t="s">
        <v>30</v>
      </c>
      <c r="H10" s="1" t="s">
        <v>62</v>
      </c>
      <c r="I10" s="1" t="s">
        <v>23</v>
      </c>
      <c r="J10" s="1">
        <v>6</v>
      </c>
      <c r="K10" s="1">
        <v>15</v>
      </c>
      <c r="L10" s="1">
        <v>0.15</v>
      </c>
      <c r="M10" s="1" t="s">
        <v>45</v>
      </c>
      <c r="N10" s="1" t="s">
        <v>55</v>
      </c>
    </row>
    <row r="11" spans="1:14" x14ac:dyDescent="0.25">
      <c r="A11" s="1" t="s">
        <v>66</v>
      </c>
      <c r="B11" s="3" t="s">
        <v>67</v>
      </c>
      <c r="C11" s="1" t="s">
        <v>61</v>
      </c>
      <c r="D11" s="1" t="s">
        <v>19</v>
      </c>
      <c r="E11" s="1">
        <v>40</v>
      </c>
      <c r="F11" s="1" t="s">
        <v>37</v>
      </c>
      <c r="G11" s="1" t="s">
        <v>38</v>
      </c>
      <c r="H11" s="1" t="s">
        <v>68</v>
      </c>
      <c r="I11" s="1" t="s">
        <v>69</v>
      </c>
      <c r="J11" s="1">
        <v>2</v>
      </c>
      <c r="K11" s="1">
        <v>2</v>
      </c>
      <c r="L11" s="1">
        <v>0.1</v>
      </c>
      <c r="M11" s="1" t="s">
        <v>45</v>
      </c>
      <c r="N11" s="1" t="s">
        <v>32</v>
      </c>
    </row>
    <row r="12" spans="1:14" x14ac:dyDescent="0.25">
      <c r="A12" s="1" t="s">
        <v>70</v>
      </c>
      <c r="B12" s="3" t="s">
        <v>71</v>
      </c>
      <c r="C12" s="1" t="s">
        <v>72</v>
      </c>
      <c r="D12" s="1" t="s">
        <v>36</v>
      </c>
      <c r="E12" s="1">
        <v>31</v>
      </c>
      <c r="F12" s="1" t="s">
        <v>37</v>
      </c>
      <c r="G12" s="1" t="s">
        <v>38</v>
      </c>
      <c r="H12" s="1" t="s">
        <v>73</v>
      </c>
      <c r="I12" s="1" t="s">
        <v>69</v>
      </c>
      <c r="J12" s="1">
        <v>5</v>
      </c>
      <c r="K12" s="1">
        <v>5</v>
      </c>
      <c r="L12" s="1">
        <v>0.15</v>
      </c>
      <c r="M12" s="1" t="s">
        <v>31</v>
      </c>
      <c r="N12" s="1" t="s">
        <v>51</v>
      </c>
    </row>
    <row r="13" spans="1:14" x14ac:dyDescent="0.25">
      <c r="A13" s="1" t="s">
        <v>74</v>
      </c>
      <c r="B13" s="3" t="s">
        <v>75</v>
      </c>
      <c r="C13" s="1" t="s">
        <v>54</v>
      </c>
      <c r="D13" s="1" t="s">
        <v>36</v>
      </c>
      <c r="E13" s="1">
        <v>33</v>
      </c>
      <c r="F13" s="1" t="s">
        <v>29</v>
      </c>
      <c r="G13" s="1" t="s">
        <v>30</v>
      </c>
      <c r="H13" s="1" t="s">
        <v>62</v>
      </c>
      <c r="I13" s="1" t="s">
        <v>23</v>
      </c>
      <c r="J13" s="1">
        <v>3</v>
      </c>
      <c r="K13" s="1">
        <v>15</v>
      </c>
      <c r="L13" s="1">
        <v>0</v>
      </c>
      <c r="M13" s="1" t="s">
        <v>58</v>
      </c>
      <c r="N13" s="1" t="s">
        <v>32</v>
      </c>
    </row>
    <row r="14" spans="1:14" x14ac:dyDescent="0.25">
      <c r="A14" s="1" t="s">
        <v>76</v>
      </c>
      <c r="B14" s="3" t="s">
        <v>77</v>
      </c>
      <c r="C14" s="1" t="s">
        <v>78</v>
      </c>
      <c r="D14" s="1" t="s">
        <v>36</v>
      </c>
      <c r="E14" s="1">
        <v>47</v>
      </c>
      <c r="F14" s="1" t="s">
        <v>29</v>
      </c>
      <c r="G14" s="1" t="s">
        <v>30</v>
      </c>
      <c r="H14" s="1" t="s">
        <v>79</v>
      </c>
      <c r="I14" s="1" t="s">
        <v>23</v>
      </c>
      <c r="J14" s="1">
        <v>9</v>
      </c>
      <c r="K14" s="1">
        <v>500</v>
      </c>
      <c r="L14" s="1">
        <v>0</v>
      </c>
      <c r="M14" s="1" t="s">
        <v>45</v>
      </c>
      <c r="N14" s="1" t="s">
        <v>25</v>
      </c>
    </row>
    <row r="15" spans="1:14" x14ac:dyDescent="0.25">
      <c r="A15" s="1" t="s">
        <v>80</v>
      </c>
      <c r="B15" s="3" t="s">
        <v>81</v>
      </c>
      <c r="C15" s="1" t="s">
        <v>82</v>
      </c>
      <c r="D15" s="1" t="s">
        <v>36</v>
      </c>
      <c r="E15" s="1">
        <v>54</v>
      </c>
      <c r="F15" s="1" t="s">
        <v>43</v>
      </c>
      <c r="G15" s="1" t="s">
        <v>44</v>
      </c>
      <c r="H15" s="1" t="s">
        <v>73</v>
      </c>
      <c r="I15" s="1" t="s">
        <v>69</v>
      </c>
      <c r="J15" s="1">
        <v>1</v>
      </c>
      <c r="K15" s="1">
        <v>5</v>
      </c>
      <c r="L15" s="1">
        <v>0</v>
      </c>
      <c r="M15" s="1" t="s">
        <v>39</v>
      </c>
      <c r="N15" s="1" t="s">
        <v>32</v>
      </c>
    </row>
    <row r="16" spans="1:14" x14ac:dyDescent="0.25">
      <c r="A16" s="1" t="s">
        <v>83</v>
      </c>
      <c r="B16" s="3" t="s">
        <v>84</v>
      </c>
      <c r="C16" s="1" t="s">
        <v>48</v>
      </c>
      <c r="D16" s="1" t="s">
        <v>36</v>
      </c>
      <c r="E16" s="1">
        <v>48</v>
      </c>
      <c r="F16" s="1" t="s">
        <v>29</v>
      </c>
      <c r="G16" s="1" t="s">
        <v>30</v>
      </c>
      <c r="H16" s="1" t="s">
        <v>62</v>
      </c>
      <c r="I16" s="1" t="s">
        <v>23</v>
      </c>
      <c r="J16" s="1">
        <v>6</v>
      </c>
      <c r="K16" s="1">
        <v>15</v>
      </c>
      <c r="L16" s="1">
        <v>0.15</v>
      </c>
      <c r="M16" s="1" t="s">
        <v>24</v>
      </c>
      <c r="N16" s="1" t="s">
        <v>25</v>
      </c>
    </row>
    <row r="17" spans="1:14" x14ac:dyDescent="0.25">
      <c r="A17" s="1" t="s">
        <v>85</v>
      </c>
      <c r="B17" s="3" t="s">
        <v>86</v>
      </c>
      <c r="C17" s="1" t="s">
        <v>87</v>
      </c>
      <c r="D17" s="1" t="s">
        <v>36</v>
      </c>
      <c r="E17" s="1">
        <v>35</v>
      </c>
      <c r="F17" s="1" t="s">
        <v>88</v>
      </c>
      <c r="G17" s="1" t="s">
        <v>89</v>
      </c>
      <c r="H17" s="1" t="s">
        <v>22</v>
      </c>
      <c r="I17" s="1" t="s">
        <v>23</v>
      </c>
      <c r="J17" s="1">
        <v>3</v>
      </c>
      <c r="K17" s="1">
        <v>850</v>
      </c>
      <c r="L17" s="1">
        <v>0.15</v>
      </c>
      <c r="M17" s="1" t="s">
        <v>24</v>
      </c>
      <c r="N17" s="1" t="s">
        <v>55</v>
      </c>
    </row>
    <row r="18" spans="1:14" x14ac:dyDescent="0.25">
      <c r="A18" s="1" t="s">
        <v>90</v>
      </c>
      <c r="B18" s="3" t="s">
        <v>91</v>
      </c>
      <c r="C18" s="1" t="s">
        <v>92</v>
      </c>
      <c r="D18" s="1" t="s">
        <v>19</v>
      </c>
      <c r="E18" s="1">
        <v>36</v>
      </c>
      <c r="F18" s="1" t="s">
        <v>20</v>
      </c>
      <c r="G18" s="1" t="s">
        <v>21</v>
      </c>
      <c r="H18" s="1" t="s">
        <v>49</v>
      </c>
      <c r="I18" s="1" t="s">
        <v>50</v>
      </c>
      <c r="J18" s="1">
        <v>1</v>
      </c>
      <c r="K18" s="1">
        <v>120</v>
      </c>
      <c r="L18" s="1">
        <v>0.1</v>
      </c>
      <c r="M18" s="1" t="s">
        <v>93</v>
      </c>
      <c r="N18" s="1" t="s">
        <v>55</v>
      </c>
    </row>
    <row r="19" spans="1:14" x14ac:dyDescent="0.25">
      <c r="A19" s="1" t="s">
        <v>94</v>
      </c>
      <c r="B19" s="3" t="s">
        <v>95</v>
      </c>
      <c r="C19" s="1" t="s">
        <v>96</v>
      </c>
      <c r="D19" s="1" t="s">
        <v>19</v>
      </c>
      <c r="E19" s="1">
        <v>31</v>
      </c>
      <c r="F19" s="1" t="s">
        <v>20</v>
      </c>
      <c r="G19" s="1" t="s">
        <v>21</v>
      </c>
      <c r="H19" s="1" t="s">
        <v>62</v>
      </c>
      <c r="I19" s="1" t="s">
        <v>23</v>
      </c>
      <c r="J19" s="1">
        <v>4</v>
      </c>
      <c r="K19" s="1">
        <v>15</v>
      </c>
      <c r="L19" s="1">
        <v>0.15</v>
      </c>
      <c r="M19" s="1" t="s">
        <v>39</v>
      </c>
      <c r="N19" s="1" t="s">
        <v>55</v>
      </c>
    </row>
    <row r="20" spans="1:14" x14ac:dyDescent="0.25">
      <c r="A20" s="1" t="s">
        <v>97</v>
      </c>
      <c r="B20" s="3" t="s">
        <v>98</v>
      </c>
      <c r="C20" s="1" t="s">
        <v>99</v>
      </c>
      <c r="D20" s="1" t="s">
        <v>36</v>
      </c>
      <c r="E20" s="1">
        <v>31</v>
      </c>
      <c r="F20" s="1" t="s">
        <v>88</v>
      </c>
      <c r="G20" s="1" t="s">
        <v>89</v>
      </c>
      <c r="H20" s="1" t="s">
        <v>68</v>
      </c>
      <c r="I20" s="1" t="s">
        <v>69</v>
      </c>
      <c r="J20" s="1">
        <v>5</v>
      </c>
      <c r="K20" s="1">
        <v>2</v>
      </c>
      <c r="L20" s="1">
        <v>0</v>
      </c>
      <c r="M20" s="1" t="s">
        <v>93</v>
      </c>
      <c r="N20" s="1" t="s">
        <v>51</v>
      </c>
    </row>
    <row r="21" spans="1:14" x14ac:dyDescent="0.25">
      <c r="A21" s="1" t="s">
        <v>100</v>
      </c>
      <c r="B21" s="3" t="s">
        <v>101</v>
      </c>
      <c r="C21" s="1" t="s">
        <v>102</v>
      </c>
      <c r="D21" s="1" t="s">
        <v>19</v>
      </c>
      <c r="E21" s="1">
        <v>36</v>
      </c>
      <c r="F21" s="1" t="s">
        <v>43</v>
      </c>
      <c r="G21" s="1" t="s">
        <v>44</v>
      </c>
      <c r="H21" s="1" t="s">
        <v>79</v>
      </c>
      <c r="I21" s="1" t="s">
        <v>23</v>
      </c>
      <c r="J21" s="1">
        <v>3</v>
      </c>
      <c r="K21" s="1">
        <v>500</v>
      </c>
      <c r="L21" s="1">
        <v>0.15</v>
      </c>
      <c r="M21" s="1" t="s">
        <v>93</v>
      </c>
      <c r="N21" s="1" t="s">
        <v>51</v>
      </c>
    </row>
    <row r="22" spans="1:14" x14ac:dyDescent="0.25">
      <c r="A22" s="1" t="s">
        <v>103</v>
      </c>
      <c r="B22" s="3" t="s">
        <v>104</v>
      </c>
      <c r="C22" s="1" t="s">
        <v>105</v>
      </c>
      <c r="D22" s="1" t="s">
        <v>19</v>
      </c>
      <c r="E22" s="1">
        <v>25</v>
      </c>
      <c r="F22" s="1" t="s">
        <v>29</v>
      </c>
      <c r="G22" s="1" t="s">
        <v>30</v>
      </c>
      <c r="H22" s="1" t="s">
        <v>62</v>
      </c>
      <c r="I22" s="1" t="s">
        <v>23</v>
      </c>
      <c r="J22" s="1">
        <v>6</v>
      </c>
      <c r="K22" s="1">
        <v>15</v>
      </c>
      <c r="L22" s="1">
        <v>0.15</v>
      </c>
      <c r="M22" s="1" t="s">
        <v>24</v>
      </c>
      <c r="N22" s="1" t="s">
        <v>51</v>
      </c>
    </row>
    <row r="23" spans="1:14" x14ac:dyDescent="0.25">
      <c r="A23" s="1" t="s">
        <v>106</v>
      </c>
      <c r="B23" s="3" t="s">
        <v>107</v>
      </c>
      <c r="C23" s="1" t="s">
        <v>108</v>
      </c>
      <c r="D23" s="1" t="s">
        <v>36</v>
      </c>
      <c r="E23" s="1">
        <v>40</v>
      </c>
      <c r="F23" s="1" t="s">
        <v>37</v>
      </c>
      <c r="G23" s="1" t="s">
        <v>38</v>
      </c>
      <c r="H23" s="1" t="s">
        <v>109</v>
      </c>
      <c r="I23" s="1" t="s">
        <v>50</v>
      </c>
      <c r="J23" s="1">
        <v>4</v>
      </c>
      <c r="K23" s="1">
        <v>80</v>
      </c>
      <c r="L23" s="1">
        <v>0.05</v>
      </c>
      <c r="M23" s="1" t="s">
        <v>39</v>
      </c>
      <c r="N23" s="1" t="s">
        <v>32</v>
      </c>
    </row>
    <row r="24" spans="1:14" x14ac:dyDescent="0.25">
      <c r="A24" s="1" t="s">
        <v>110</v>
      </c>
      <c r="B24" s="3" t="s">
        <v>111</v>
      </c>
      <c r="C24" s="1" t="s">
        <v>61</v>
      </c>
      <c r="D24" s="1" t="s">
        <v>19</v>
      </c>
      <c r="E24" s="1">
        <v>28</v>
      </c>
      <c r="F24" s="1" t="s">
        <v>37</v>
      </c>
      <c r="G24" s="1" t="s">
        <v>38</v>
      </c>
      <c r="H24" s="1" t="s">
        <v>68</v>
      </c>
      <c r="I24" s="1" t="s">
        <v>69</v>
      </c>
      <c r="J24" s="1">
        <v>3</v>
      </c>
      <c r="K24" s="1">
        <v>2</v>
      </c>
      <c r="L24" s="1">
        <v>0.15</v>
      </c>
      <c r="M24" s="1" t="s">
        <v>39</v>
      </c>
      <c r="N24" s="1" t="s">
        <v>55</v>
      </c>
    </row>
    <row r="25" spans="1:14" x14ac:dyDescent="0.25">
      <c r="A25" s="1" t="s">
        <v>112</v>
      </c>
      <c r="B25" s="3" t="s">
        <v>113</v>
      </c>
      <c r="C25" s="1" t="s">
        <v>114</v>
      </c>
      <c r="D25" s="1" t="s">
        <v>36</v>
      </c>
      <c r="E25" s="1">
        <v>31</v>
      </c>
      <c r="F25" s="1" t="s">
        <v>88</v>
      </c>
      <c r="G25" s="1" t="s">
        <v>89</v>
      </c>
      <c r="H25" s="1" t="s">
        <v>22</v>
      </c>
      <c r="I25" s="1" t="s">
        <v>23</v>
      </c>
      <c r="J25" s="1">
        <v>5</v>
      </c>
      <c r="K25" s="1">
        <v>850</v>
      </c>
      <c r="L25" s="1">
        <v>0</v>
      </c>
      <c r="M25" s="1" t="s">
        <v>39</v>
      </c>
      <c r="N25" s="1" t="s">
        <v>25</v>
      </c>
    </row>
    <row r="26" spans="1:14" x14ac:dyDescent="0.25">
      <c r="A26" s="1" t="s">
        <v>115</v>
      </c>
      <c r="B26" s="3" t="s">
        <v>116</v>
      </c>
      <c r="C26" s="1" t="s">
        <v>117</v>
      </c>
      <c r="D26" s="1" t="s">
        <v>19</v>
      </c>
      <c r="E26" s="1">
        <v>54</v>
      </c>
      <c r="F26" s="1" t="s">
        <v>20</v>
      </c>
      <c r="G26" s="1" t="s">
        <v>21</v>
      </c>
      <c r="H26" s="1" t="s">
        <v>118</v>
      </c>
      <c r="I26" s="1" t="s">
        <v>23</v>
      </c>
      <c r="J26" s="1">
        <v>2</v>
      </c>
      <c r="K26" s="1">
        <v>180</v>
      </c>
      <c r="L26" s="1">
        <v>0</v>
      </c>
      <c r="M26" s="1" t="s">
        <v>39</v>
      </c>
      <c r="N26" s="1" t="s">
        <v>25</v>
      </c>
    </row>
    <row r="27" spans="1:14" x14ac:dyDescent="0.25">
      <c r="A27" s="1" t="s">
        <v>119</v>
      </c>
      <c r="B27" s="3" t="s">
        <v>120</v>
      </c>
      <c r="C27" s="1" t="s">
        <v>65</v>
      </c>
      <c r="D27" s="1" t="s">
        <v>36</v>
      </c>
      <c r="E27" s="1">
        <v>23</v>
      </c>
      <c r="F27" s="1" t="s">
        <v>43</v>
      </c>
      <c r="G27" s="1" t="s">
        <v>44</v>
      </c>
      <c r="H27" s="1" t="s">
        <v>49</v>
      </c>
      <c r="I27" s="1" t="s">
        <v>50</v>
      </c>
      <c r="J27" s="1">
        <v>10</v>
      </c>
      <c r="K27" s="1">
        <v>120</v>
      </c>
      <c r="L27" s="1">
        <v>0</v>
      </c>
      <c r="M27" s="1" t="s">
        <v>31</v>
      </c>
      <c r="N27" s="1" t="s">
        <v>55</v>
      </c>
    </row>
    <row r="28" spans="1:14" x14ac:dyDescent="0.25">
      <c r="A28" s="1" t="s">
        <v>121</v>
      </c>
      <c r="B28" s="3" t="s">
        <v>122</v>
      </c>
      <c r="C28" s="1" t="s">
        <v>123</v>
      </c>
      <c r="D28" s="1" t="s">
        <v>36</v>
      </c>
      <c r="E28" s="1">
        <v>26</v>
      </c>
      <c r="F28" s="1" t="s">
        <v>29</v>
      </c>
      <c r="G28" s="1" t="s">
        <v>30</v>
      </c>
      <c r="H28" s="1" t="s">
        <v>118</v>
      </c>
      <c r="I28" s="1" t="s">
        <v>23</v>
      </c>
      <c r="J28" s="1">
        <v>1</v>
      </c>
      <c r="K28" s="1">
        <v>180</v>
      </c>
      <c r="L28" s="1">
        <v>0.15</v>
      </c>
      <c r="M28" s="1" t="s">
        <v>45</v>
      </c>
      <c r="N28" s="1" t="s">
        <v>51</v>
      </c>
    </row>
    <row r="29" spans="1:14" x14ac:dyDescent="0.25">
      <c r="A29" s="1" t="s">
        <v>124</v>
      </c>
      <c r="B29" s="3" t="s">
        <v>125</v>
      </c>
      <c r="C29" s="1" t="s">
        <v>126</v>
      </c>
      <c r="D29" s="1" t="s">
        <v>36</v>
      </c>
      <c r="E29" s="1">
        <v>45</v>
      </c>
      <c r="F29" s="1" t="s">
        <v>29</v>
      </c>
      <c r="G29" s="1" t="s">
        <v>30</v>
      </c>
      <c r="H29" s="1" t="s">
        <v>79</v>
      </c>
      <c r="I29" s="1" t="s">
        <v>23</v>
      </c>
      <c r="J29" s="1">
        <v>2</v>
      </c>
      <c r="K29" s="1">
        <v>500</v>
      </c>
      <c r="L29" s="1">
        <v>0.05</v>
      </c>
      <c r="M29" s="1" t="s">
        <v>39</v>
      </c>
      <c r="N29" s="1" t="s">
        <v>25</v>
      </c>
    </row>
    <row r="30" spans="1:14" x14ac:dyDescent="0.25">
      <c r="A30" s="1" t="s">
        <v>127</v>
      </c>
      <c r="B30" s="3" t="s">
        <v>128</v>
      </c>
      <c r="C30" s="1" t="s">
        <v>42</v>
      </c>
      <c r="D30" s="1" t="s">
        <v>19</v>
      </c>
      <c r="E30" s="1">
        <v>53</v>
      </c>
      <c r="F30" s="1" t="s">
        <v>37</v>
      </c>
      <c r="G30" s="1" t="s">
        <v>38</v>
      </c>
      <c r="H30" s="1" t="s">
        <v>49</v>
      </c>
      <c r="I30" s="1" t="s">
        <v>50</v>
      </c>
      <c r="J30" s="1">
        <v>4</v>
      </c>
      <c r="K30" s="1">
        <v>120</v>
      </c>
      <c r="L30" s="1">
        <v>0</v>
      </c>
      <c r="M30" s="1" t="s">
        <v>93</v>
      </c>
      <c r="N30" s="1" t="s">
        <v>51</v>
      </c>
    </row>
    <row r="31" spans="1:14" x14ac:dyDescent="0.25">
      <c r="A31" s="1" t="s">
        <v>129</v>
      </c>
      <c r="B31" s="3" t="s">
        <v>130</v>
      </c>
      <c r="C31" s="1" t="s">
        <v>131</v>
      </c>
      <c r="D31" s="1" t="s">
        <v>19</v>
      </c>
      <c r="E31" s="1">
        <v>39</v>
      </c>
      <c r="F31" s="1" t="s">
        <v>43</v>
      </c>
      <c r="G31" s="1" t="s">
        <v>44</v>
      </c>
      <c r="H31" s="1" t="s">
        <v>73</v>
      </c>
      <c r="I31" s="1" t="s">
        <v>69</v>
      </c>
      <c r="J31" s="1">
        <v>3</v>
      </c>
      <c r="K31" s="1">
        <v>5</v>
      </c>
      <c r="L31" s="1">
        <v>0.15</v>
      </c>
      <c r="M31" s="1" t="s">
        <v>39</v>
      </c>
      <c r="N31" s="1" t="s">
        <v>25</v>
      </c>
    </row>
    <row r="32" spans="1:14" x14ac:dyDescent="0.25">
      <c r="A32" s="1" t="s">
        <v>132</v>
      </c>
      <c r="B32" s="3" t="s">
        <v>133</v>
      </c>
      <c r="C32" s="1" t="s">
        <v>131</v>
      </c>
      <c r="D32" s="1" t="s">
        <v>36</v>
      </c>
      <c r="E32" s="1">
        <v>28</v>
      </c>
      <c r="F32" s="1" t="s">
        <v>43</v>
      </c>
      <c r="G32" s="1" t="s">
        <v>44</v>
      </c>
      <c r="H32" s="1" t="s">
        <v>62</v>
      </c>
      <c r="I32" s="1" t="s">
        <v>23</v>
      </c>
      <c r="J32" s="1">
        <v>10</v>
      </c>
      <c r="K32" s="1">
        <v>15</v>
      </c>
      <c r="L32" s="1">
        <v>0.05</v>
      </c>
      <c r="M32" s="1" t="s">
        <v>31</v>
      </c>
      <c r="N32" s="1" t="s">
        <v>55</v>
      </c>
    </row>
    <row r="33" spans="1:14" x14ac:dyDescent="0.25">
      <c r="A33" s="1" t="s">
        <v>134</v>
      </c>
      <c r="B33" s="3" t="s">
        <v>135</v>
      </c>
      <c r="C33" s="1" t="s">
        <v>136</v>
      </c>
      <c r="D33" s="1" t="s">
        <v>36</v>
      </c>
      <c r="E33" s="1">
        <v>43</v>
      </c>
      <c r="F33" s="1" t="s">
        <v>20</v>
      </c>
      <c r="G33" s="1" t="s">
        <v>21</v>
      </c>
      <c r="H33" s="1" t="s">
        <v>118</v>
      </c>
      <c r="I33" s="1" t="s">
        <v>23</v>
      </c>
      <c r="J33" s="1">
        <v>8</v>
      </c>
      <c r="K33" s="1">
        <v>180</v>
      </c>
      <c r="L33" s="1">
        <v>0.1</v>
      </c>
      <c r="M33" s="1" t="s">
        <v>39</v>
      </c>
      <c r="N33" s="1" t="s">
        <v>55</v>
      </c>
    </row>
    <row r="34" spans="1:14" x14ac:dyDescent="0.25">
      <c r="A34" s="1" t="s">
        <v>137</v>
      </c>
      <c r="B34" s="3" t="s">
        <v>138</v>
      </c>
      <c r="C34" s="1" t="s">
        <v>126</v>
      </c>
      <c r="D34" s="1" t="s">
        <v>19</v>
      </c>
      <c r="E34" s="1">
        <v>34</v>
      </c>
      <c r="F34" s="1" t="s">
        <v>43</v>
      </c>
      <c r="G34" s="1" t="s">
        <v>44</v>
      </c>
      <c r="H34" s="1" t="s">
        <v>73</v>
      </c>
      <c r="I34" s="1" t="s">
        <v>69</v>
      </c>
      <c r="J34" s="1">
        <v>6</v>
      </c>
      <c r="K34" s="1">
        <v>5</v>
      </c>
      <c r="L34" s="1">
        <v>0.05</v>
      </c>
      <c r="M34" s="1" t="s">
        <v>39</v>
      </c>
      <c r="N34" s="1" t="s">
        <v>32</v>
      </c>
    </row>
    <row r="35" spans="1:14" x14ac:dyDescent="0.25">
      <c r="A35" s="1" t="s">
        <v>139</v>
      </c>
      <c r="B35" s="3" t="s">
        <v>140</v>
      </c>
      <c r="C35" s="1" t="s">
        <v>28</v>
      </c>
      <c r="D35" s="1" t="s">
        <v>19</v>
      </c>
      <c r="E35" s="1">
        <v>42</v>
      </c>
      <c r="F35" s="1" t="s">
        <v>20</v>
      </c>
      <c r="G35" s="1" t="s">
        <v>21</v>
      </c>
      <c r="H35" s="1" t="s">
        <v>22</v>
      </c>
      <c r="I35" s="1" t="s">
        <v>23</v>
      </c>
      <c r="J35" s="1">
        <v>8</v>
      </c>
      <c r="K35" s="1">
        <v>850</v>
      </c>
      <c r="L35" s="1">
        <v>0</v>
      </c>
      <c r="M35" s="1" t="s">
        <v>31</v>
      </c>
      <c r="N35" s="1" t="s">
        <v>32</v>
      </c>
    </row>
    <row r="36" spans="1:14" x14ac:dyDescent="0.25">
      <c r="A36" s="1" t="s">
        <v>141</v>
      </c>
      <c r="B36" s="3" t="s">
        <v>142</v>
      </c>
      <c r="C36" s="1" t="s">
        <v>123</v>
      </c>
      <c r="D36" s="1" t="s">
        <v>36</v>
      </c>
      <c r="E36" s="1">
        <v>52</v>
      </c>
      <c r="F36" s="1" t="s">
        <v>29</v>
      </c>
      <c r="G36" s="1" t="s">
        <v>30</v>
      </c>
      <c r="H36" s="1" t="s">
        <v>79</v>
      </c>
      <c r="I36" s="1" t="s">
        <v>23</v>
      </c>
      <c r="J36" s="1">
        <v>5</v>
      </c>
      <c r="K36" s="1">
        <v>500</v>
      </c>
      <c r="L36" s="1">
        <v>0.1</v>
      </c>
      <c r="M36" s="1" t="s">
        <v>58</v>
      </c>
      <c r="N36" s="1" t="s">
        <v>32</v>
      </c>
    </row>
    <row r="37" spans="1:14" x14ac:dyDescent="0.25">
      <c r="A37" s="1" t="s">
        <v>143</v>
      </c>
      <c r="B37" s="3" t="s">
        <v>144</v>
      </c>
      <c r="C37" s="1" t="s">
        <v>145</v>
      </c>
      <c r="D37" s="1" t="s">
        <v>36</v>
      </c>
      <c r="E37" s="1">
        <v>54</v>
      </c>
      <c r="F37" s="1" t="s">
        <v>37</v>
      </c>
      <c r="G37" s="1" t="s">
        <v>38</v>
      </c>
      <c r="H37" s="1" t="s">
        <v>79</v>
      </c>
      <c r="I37" s="1" t="s">
        <v>23</v>
      </c>
      <c r="J37" s="1">
        <v>10</v>
      </c>
      <c r="K37" s="1">
        <v>500</v>
      </c>
      <c r="L37" s="1">
        <v>0</v>
      </c>
      <c r="M37" s="1" t="s">
        <v>39</v>
      </c>
      <c r="N37" s="1" t="s">
        <v>51</v>
      </c>
    </row>
    <row r="38" spans="1:14" x14ac:dyDescent="0.25">
      <c r="A38" s="1" t="s">
        <v>146</v>
      </c>
      <c r="B38" s="3" t="s">
        <v>47</v>
      </c>
      <c r="C38" s="1" t="s">
        <v>126</v>
      </c>
      <c r="D38" s="1" t="s">
        <v>19</v>
      </c>
      <c r="E38" s="1">
        <v>44</v>
      </c>
      <c r="F38" s="1" t="s">
        <v>20</v>
      </c>
      <c r="G38" s="1" t="s">
        <v>21</v>
      </c>
      <c r="H38" s="1" t="s">
        <v>62</v>
      </c>
      <c r="I38" s="1" t="s">
        <v>23</v>
      </c>
      <c r="J38" s="1">
        <v>4</v>
      </c>
      <c r="K38" s="1">
        <v>15</v>
      </c>
      <c r="L38" s="1">
        <v>0.05</v>
      </c>
      <c r="M38" s="1" t="s">
        <v>58</v>
      </c>
      <c r="N38" s="1" t="s">
        <v>55</v>
      </c>
    </row>
    <row r="39" spans="1:14" x14ac:dyDescent="0.25">
      <c r="A39" s="1" t="s">
        <v>147</v>
      </c>
      <c r="B39" s="3" t="s">
        <v>148</v>
      </c>
      <c r="C39" s="1" t="s">
        <v>149</v>
      </c>
      <c r="D39" s="1" t="s">
        <v>36</v>
      </c>
      <c r="E39" s="1">
        <v>33</v>
      </c>
      <c r="F39" s="1" t="s">
        <v>20</v>
      </c>
      <c r="G39" s="1" t="s">
        <v>21</v>
      </c>
      <c r="H39" s="1" t="s">
        <v>73</v>
      </c>
      <c r="I39" s="1" t="s">
        <v>69</v>
      </c>
      <c r="J39" s="1">
        <v>5</v>
      </c>
      <c r="K39" s="1">
        <v>5</v>
      </c>
      <c r="L39" s="1">
        <v>0</v>
      </c>
      <c r="M39" s="1" t="s">
        <v>45</v>
      </c>
      <c r="N39" s="1" t="s">
        <v>51</v>
      </c>
    </row>
    <row r="40" spans="1:14" x14ac:dyDescent="0.25">
      <c r="A40" s="1" t="s">
        <v>150</v>
      </c>
      <c r="B40" s="3" t="s">
        <v>151</v>
      </c>
      <c r="C40" s="1" t="s">
        <v>152</v>
      </c>
      <c r="D40" s="1" t="s">
        <v>19</v>
      </c>
      <c r="E40" s="1">
        <v>40</v>
      </c>
      <c r="F40" s="1" t="s">
        <v>20</v>
      </c>
      <c r="G40" s="1" t="s">
        <v>21</v>
      </c>
      <c r="H40" s="1" t="s">
        <v>62</v>
      </c>
      <c r="I40" s="1" t="s">
        <v>23</v>
      </c>
      <c r="J40" s="1">
        <v>2</v>
      </c>
      <c r="K40" s="1">
        <v>15</v>
      </c>
      <c r="L40" s="1">
        <v>0.1</v>
      </c>
      <c r="M40" s="1" t="s">
        <v>39</v>
      </c>
      <c r="N40" s="1" t="s">
        <v>51</v>
      </c>
    </row>
    <row r="41" spans="1:14" x14ac:dyDescent="0.25">
      <c r="A41" s="1" t="s">
        <v>153</v>
      </c>
      <c r="B41" s="3" t="s">
        <v>154</v>
      </c>
      <c r="C41" s="1" t="s">
        <v>155</v>
      </c>
      <c r="D41" s="1" t="s">
        <v>19</v>
      </c>
      <c r="E41" s="1">
        <v>40</v>
      </c>
      <c r="F41" s="1" t="s">
        <v>20</v>
      </c>
      <c r="G41" s="1" t="s">
        <v>21</v>
      </c>
      <c r="H41" s="1" t="s">
        <v>73</v>
      </c>
      <c r="I41" s="1" t="s">
        <v>69</v>
      </c>
      <c r="J41" s="1">
        <v>3</v>
      </c>
      <c r="K41" s="1">
        <v>5</v>
      </c>
      <c r="L41" s="1">
        <v>0.05</v>
      </c>
      <c r="M41" s="1" t="s">
        <v>39</v>
      </c>
      <c r="N41" s="1" t="s">
        <v>32</v>
      </c>
    </row>
    <row r="42" spans="1:14" x14ac:dyDescent="0.25">
      <c r="A42" s="1" t="s">
        <v>156</v>
      </c>
      <c r="B42" s="3" t="s">
        <v>157</v>
      </c>
      <c r="C42" s="1" t="s">
        <v>158</v>
      </c>
      <c r="D42" s="1" t="s">
        <v>19</v>
      </c>
      <c r="E42" s="1">
        <v>35</v>
      </c>
      <c r="F42" s="1" t="s">
        <v>29</v>
      </c>
      <c r="G42" s="1" t="s">
        <v>30</v>
      </c>
      <c r="H42" s="1" t="s">
        <v>68</v>
      </c>
      <c r="I42" s="1" t="s">
        <v>69</v>
      </c>
      <c r="J42" s="1">
        <v>4</v>
      </c>
      <c r="K42" s="1">
        <v>2</v>
      </c>
      <c r="L42" s="1">
        <v>0.15</v>
      </c>
      <c r="M42" s="1" t="s">
        <v>93</v>
      </c>
      <c r="N42" s="1" t="s">
        <v>32</v>
      </c>
    </row>
    <row r="43" spans="1:14" x14ac:dyDescent="0.25">
      <c r="A43" s="1" t="s">
        <v>159</v>
      </c>
      <c r="B43" s="3" t="s">
        <v>160</v>
      </c>
      <c r="C43" s="1" t="s">
        <v>123</v>
      </c>
      <c r="D43" s="1" t="s">
        <v>36</v>
      </c>
      <c r="E43" s="1">
        <v>56</v>
      </c>
      <c r="F43" s="1" t="s">
        <v>20</v>
      </c>
      <c r="G43" s="1" t="s">
        <v>21</v>
      </c>
      <c r="H43" s="1" t="s">
        <v>73</v>
      </c>
      <c r="I43" s="1" t="s">
        <v>69</v>
      </c>
      <c r="J43" s="1">
        <v>8</v>
      </c>
      <c r="K43" s="1">
        <v>5</v>
      </c>
      <c r="L43" s="1">
        <v>0.15</v>
      </c>
      <c r="M43" s="1" t="s">
        <v>24</v>
      </c>
      <c r="N43" s="1" t="s">
        <v>55</v>
      </c>
    </row>
    <row r="44" spans="1:14" x14ac:dyDescent="0.25">
      <c r="A44" s="1" t="s">
        <v>161</v>
      </c>
      <c r="B44" s="3" t="s">
        <v>162</v>
      </c>
      <c r="C44" s="1" t="s">
        <v>136</v>
      </c>
      <c r="D44" s="1" t="s">
        <v>36</v>
      </c>
      <c r="E44" s="1">
        <v>44</v>
      </c>
      <c r="F44" s="1" t="s">
        <v>20</v>
      </c>
      <c r="G44" s="1" t="s">
        <v>21</v>
      </c>
      <c r="H44" s="1" t="s">
        <v>49</v>
      </c>
      <c r="I44" s="1" t="s">
        <v>50</v>
      </c>
      <c r="J44" s="1">
        <v>3</v>
      </c>
      <c r="K44" s="1">
        <v>120</v>
      </c>
      <c r="L44" s="1">
        <v>0</v>
      </c>
      <c r="M44" s="1" t="s">
        <v>31</v>
      </c>
      <c r="N44" s="1" t="s">
        <v>32</v>
      </c>
    </row>
    <row r="45" spans="1:14" x14ac:dyDescent="0.25">
      <c r="A45" s="1" t="s">
        <v>163</v>
      </c>
      <c r="B45" s="3" t="s">
        <v>164</v>
      </c>
      <c r="C45" s="1" t="s">
        <v>165</v>
      </c>
      <c r="D45" s="1" t="s">
        <v>36</v>
      </c>
      <c r="E45" s="1">
        <v>45</v>
      </c>
      <c r="F45" s="1" t="s">
        <v>43</v>
      </c>
      <c r="G45" s="1" t="s">
        <v>44</v>
      </c>
      <c r="H45" s="1" t="s">
        <v>22</v>
      </c>
      <c r="I45" s="1" t="s">
        <v>23</v>
      </c>
      <c r="J45" s="1">
        <v>2</v>
      </c>
      <c r="K45" s="1">
        <v>850</v>
      </c>
      <c r="L45" s="1">
        <v>0.1</v>
      </c>
      <c r="M45" s="1" t="s">
        <v>24</v>
      </c>
      <c r="N45" s="1" t="s">
        <v>25</v>
      </c>
    </row>
    <row r="46" spans="1:14" x14ac:dyDescent="0.25">
      <c r="A46" s="1" t="s">
        <v>166</v>
      </c>
      <c r="B46" s="3" t="s">
        <v>167</v>
      </c>
      <c r="C46" s="1" t="s">
        <v>42</v>
      </c>
      <c r="D46" s="1" t="s">
        <v>36</v>
      </c>
      <c r="E46" s="1">
        <v>48</v>
      </c>
      <c r="F46" s="1" t="s">
        <v>29</v>
      </c>
      <c r="G46" s="1" t="s">
        <v>30</v>
      </c>
      <c r="H46" s="1" t="s">
        <v>73</v>
      </c>
      <c r="I46" s="1" t="s">
        <v>69</v>
      </c>
      <c r="J46" s="1">
        <v>10</v>
      </c>
      <c r="K46" s="1">
        <v>5</v>
      </c>
      <c r="L46" s="1">
        <v>0</v>
      </c>
      <c r="M46" s="1" t="s">
        <v>58</v>
      </c>
      <c r="N46" s="1" t="s">
        <v>25</v>
      </c>
    </row>
    <row r="47" spans="1:14" x14ac:dyDescent="0.25">
      <c r="A47" s="1" t="s">
        <v>168</v>
      </c>
      <c r="B47" s="3" t="s">
        <v>34</v>
      </c>
      <c r="C47" s="1" t="s">
        <v>126</v>
      </c>
      <c r="D47" s="1" t="s">
        <v>19</v>
      </c>
      <c r="E47" s="1">
        <v>56</v>
      </c>
      <c r="F47" s="1" t="s">
        <v>20</v>
      </c>
      <c r="G47" s="1" t="s">
        <v>21</v>
      </c>
      <c r="H47" s="1" t="s">
        <v>79</v>
      </c>
      <c r="I47" s="1" t="s">
        <v>23</v>
      </c>
      <c r="J47" s="1">
        <v>1</v>
      </c>
      <c r="K47" s="1">
        <v>500</v>
      </c>
      <c r="L47" s="1">
        <v>0</v>
      </c>
      <c r="M47" s="1" t="s">
        <v>39</v>
      </c>
      <c r="N47" s="1" t="s">
        <v>51</v>
      </c>
    </row>
    <row r="48" spans="1:14" x14ac:dyDescent="0.25">
      <c r="A48" s="1" t="s">
        <v>169</v>
      </c>
      <c r="B48" s="3" t="s">
        <v>170</v>
      </c>
      <c r="C48" s="1" t="s">
        <v>145</v>
      </c>
      <c r="D48" s="1" t="s">
        <v>36</v>
      </c>
      <c r="E48" s="1">
        <v>52</v>
      </c>
      <c r="F48" s="1" t="s">
        <v>37</v>
      </c>
      <c r="G48" s="1" t="s">
        <v>38</v>
      </c>
      <c r="H48" s="1" t="s">
        <v>73</v>
      </c>
      <c r="I48" s="1" t="s">
        <v>69</v>
      </c>
      <c r="J48" s="1">
        <v>3</v>
      </c>
      <c r="K48" s="1">
        <v>5</v>
      </c>
      <c r="L48" s="1">
        <v>0</v>
      </c>
      <c r="M48" s="1" t="s">
        <v>58</v>
      </c>
      <c r="N48" s="1" t="s">
        <v>25</v>
      </c>
    </row>
    <row r="49" spans="1:14" x14ac:dyDescent="0.25">
      <c r="A49" s="1" t="s">
        <v>171</v>
      </c>
      <c r="B49" s="3" t="s">
        <v>172</v>
      </c>
      <c r="C49" s="1" t="s">
        <v>72</v>
      </c>
      <c r="D49" s="1" t="s">
        <v>19</v>
      </c>
      <c r="E49" s="1">
        <v>19</v>
      </c>
      <c r="F49" s="1" t="s">
        <v>88</v>
      </c>
      <c r="G49" s="1" t="s">
        <v>89</v>
      </c>
      <c r="H49" s="1" t="s">
        <v>22</v>
      </c>
      <c r="I49" s="1" t="s">
        <v>23</v>
      </c>
      <c r="J49" s="1">
        <v>1</v>
      </c>
      <c r="K49" s="1">
        <v>850</v>
      </c>
      <c r="L49" s="1">
        <v>0.05</v>
      </c>
      <c r="M49" s="1" t="s">
        <v>24</v>
      </c>
      <c r="N49" s="1" t="s">
        <v>55</v>
      </c>
    </row>
    <row r="50" spans="1:14" x14ac:dyDescent="0.25">
      <c r="A50" s="1" t="s">
        <v>173</v>
      </c>
      <c r="B50" s="3" t="s">
        <v>174</v>
      </c>
      <c r="C50" s="1" t="s">
        <v>35</v>
      </c>
      <c r="D50" s="1" t="s">
        <v>19</v>
      </c>
      <c r="E50" s="1">
        <v>32</v>
      </c>
      <c r="F50" s="1" t="s">
        <v>29</v>
      </c>
      <c r="G50" s="1" t="s">
        <v>30</v>
      </c>
      <c r="H50" s="1" t="s">
        <v>79</v>
      </c>
      <c r="I50" s="1" t="s">
        <v>23</v>
      </c>
      <c r="J50" s="1">
        <v>5</v>
      </c>
      <c r="K50" s="1">
        <v>500</v>
      </c>
      <c r="L50" s="1">
        <v>0.1</v>
      </c>
      <c r="M50" s="1" t="s">
        <v>45</v>
      </c>
      <c r="N50" s="1" t="s">
        <v>25</v>
      </c>
    </row>
    <row r="51" spans="1:14" x14ac:dyDescent="0.25">
      <c r="A51" s="1" t="s">
        <v>175</v>
      </c>
      <c r="B51" s="3" t="s">
        <v>160</v>
      </c>
      <c r="C51" s="1" t="s">
        <v>158</v>
      </c>
      <c r="D51" s="1" t="s">
        <v>19</v>
      </c>
      <c r="E51" s="1">
        <v>40</v>
      </c>
      <c r="F51" s="1" t="s">
        <v>43</v>
      </c>
      <c r="G51" s="1" t="s">
        <v>44</v>
      </c>
      <c r="H51" s="1" t="s">
        <v>68</v>
      </c>
      <c r="I51" s="1" t="s">
        <v>69</v>
      </c>
      <c r="J51" s="1">
        <v>4</v>
      </c>
      <c r="K51" s="1">
        <v>2</v>
      </c>
      <c r="L51" s="1">
        <v>0.15</v>
      </c>
      <c r="M51" s="1" t="s">
        <v>24</v>
      </c>
      <c r="N51" s="1" t="s">
        <v>25</v>
      </c>
    </row>
    <row r="52" spans="1:14" x14ac:dyDescent="0.25">
      <c r="A52" s="1" t="s">
        <v>176</v>
      </c>
      <c r="B52" s="3" t="s">
        <v>177</v>
      </c>
      <c r="C52" s="1" t="s">
        <v>96</v>
      </c>
      <c r="D52" s="1" t="s">
        <v>19</v>
      </c>
      <c r="E52" s="1">
        <v>39</v>
      </c>
      <c r="F52" s="1" t="s">
        <v>88</v>
      </c>
      <c r="G52" s="1" t="s">
        <v>89</v>
      </c>
      <c r="H52" s="1" t="s">
        <v>79</v>
      </c>
      <c r="I52" s="1" t="s">
        <v>23</v>
      </c>
      <c r="J52" s="1">
        <v>2</v>
      </c>
      <c r="K52" s="1">
        <v>500</v>
      </c>
      <c r="L52" s="1">
        <v>0.05</v>
      </c>
      <c r="M52" s="1" t="s">
        <v>31</v>
      </c>
      <c r="N52" s="1" t="s">
        <v>51</v>
      </c>
    </row>
    <row r="53" spans="1:14" x14ac:dyDescent="0.25">
      <c r="A53" s="1" t="s">
        <v>178</v>
      </c>
      <c r="B53" s="3" t="s">
        <v>179</v>
      </c>
      <c r="C53" s="1" t="s">
        <v>180</v>
      </c>
      <c r="D53" s="1" t="s">
        <v>19</v>
      </c>
      <c r="E53" s="1">
        <v>53</v>
      </c>
      <c r="F53" s="1" t="s">
        <v>37</v>
      </c>
      <c r="G53" s="1" t="s">
        <v>38</v>
      </c>
      <c r="H53" s="1" t="s">
        <v>73</v>
      </c>
      <c r="I53" s="1" t="s">
        <v>69</v>
      </c>
      <c r="J53" s="1">
        <v>3</v>
      </c>
      <c r="K53" s="1">
        <v>5</v>
      </c>
      <c r="L53" s="1">
        <v>0.05</v>
      </c>
      <c r="M53" s="1" t="s">
        <v>58</v>
      </c>
      <c r="N53" s="1" t="s">
        <v>25</v>
      </c>
    </row>
    <row r="54" spans="1:14" x14ac:dyDescent="0.25">
      <c r="A54" s="1" t="s">
        <v>181</v>
      </c>
      <c r="B54" s="3" t="s">
        <v>71</v>
      </c>
      <c r="C54" s="1" t="s">
        <v>182</v>
      </c>
      <c r="D54" s="1" t="s">
        <v>19</v>
      </c>
      <c r="E54" s="1">
        <v>58</v>
      </c>
      <c r="F54" s="1" t="s">
        <v>43</v>
      </c>
      <c r="G54" s="1" t="s">
        <v>44</v>
      </c>
      <c r="H54" s="1" t="s">
        <v>62</v>
      </c>
      <c r="I54" s="1" t="s">
        <v>23</v>
      </c>
      <c r="J54" s="1">
        <v>4</v>
      </c>
      <c r="K54" s="1">
        <v>15</v>
      </c>
      <c r="L54" s="1">
        <v>0.05</v>
      </c>
      <c r="M54" s="1" t="s">
        <v>24</v>
      </c>
      <c r="N54" s="1" t="s">
        <v>25</v>
      </c>
    </row>
    <row r="55" spans="1:14" x14ac:dyDescent="0.25">
      <c r="A55" s="1" t="s">
        <v>183</v>
      </c>
      <c r="B55" s="3" t="s">
        <v>47</v>
      </c>
      <c r="C55" s="1" t="s">
        <v>108</v>
      </c>
      <c r="D55" s="1" t="s">
        <v>36</v>
      </c>
      <c r="E55" s="1">
        <v>59</v>
      </c>
      <c r="F55" s="1" t="s">
        <v>43</v>
      </c>
      <c r="G55" s="1" t="s">
        <v>44</v>
      </c>
      <c r="H55" s="1" t="s">
        <v>49</v>
      </c>
      <c r="I55" s="1" t="s">
        <v>50</v>
      </c>
      <c r="J55" s="1">
        <v>3</v>
      </c>
      <c r="K55" s="1">
        <v>120</v>
      </c>
      <c r="L55" s="1">
        <v>0</v>
      </c>
      <c r="M55" s="1" t="s">
        <v>45</v>
      </c>
      <c r="N55" s="1" t="s">
        <v>25</v>
      </c>
    </row>
    <row r="56" spans="1:14" x14ac:dyDescent="0.25">
      <c r="A56" s="1" t="s">
        <v>184</v>
      </c>
      <c r="B56" s="3" t="s">
        <v>185</v>
      </c>
      <c r="C56" s="1" t="s">
        <v>131</v>
      </c>
      <c r="D56" s="1" t="s">
        <v>19</v>
      </c>
      <c r="E56" s="1">
        <v>57</v>
      </c>
      <c r="F56" s="1" t="s">
        <v>88</v>
      </c>
      <c r="G56" s="1" t="s">
        <v>89</v>
      </c>
      <c r="H56" s="1" t="s">
        <v>118</v>
      </c>
      <c r="I56" s="1" t="s">
        <v>23</v>
      </c>
      <c r="J56" s="1">
        <v>2</v>
      </c>
      <c r="K56" s="1">
        <v>180</v>
      </c>
      <c r="L56" s="1">
        <v>0</v>
      </c>
      <c r="M56" s="1" t="s">
        <v>45</v>
      </c>
      <c r="N56" s="1" t="s">
        <v>25</v>
      </c>
    </row>
    <row r="57" spans="1:14" x14ac:dyDescent="0.25">
      <c r="A57" s="1" t="s">
        <v>186</v>
      </c>
      <c r="B57" s="3" t="s">
        <v>187</v>
      </c>
      <c r="C57" s="1" t="s">
        <v>188</v>
      </c>
      <c r="D57" s="1" t="s">
        <v>19</v>
      </c>
      <c r="E57" s="1">
        <v>53</v>
      </c>
      <c r="F57" s="1" t="s">
        <v>20</v>
      </c>
      <c r="G57" s="1" t="s">
        <v>21</v>
      </c>
      <c r="H57" s="1" t="s">
        <v>118</v>
      </c>
      <c r="I57" s="1" t="s">
        <v>23</v>
      </c>
      <c r="J57" s="1">
        <v>8</v>
      </c>
      <c r="K57" s="1">
        <v>180</v>
      </c>
      <c r="L57" s="1">
        <v>0.15</v>
      </c>
      <c r="M57" s="1" t="s">
        <v>45</v>
      </c>
      <c r="N57" s="1" t="s">
        <v>25</v>
      </c>
    </row>
    <row r="58" spans="1:14" x14ac:dyDescent="0.25">
      <c r="A58" s="1" t="s">
        <v>189</v>
      </c>
      <c r="B58" s="3" t="s">
        <v>125</v>
      </c>
      <c r="C58" s="1" t="s">
        <v>78</v>
      </c>
      <c r="D58" s="1" t="s">
        <v>19</v>
      </c>
      <c r="E58" s="1">
        <v>47</v>
      </c>
      <c r="F58" s="1" t="s">
        <v>29</v>
      </c>
      <c r="G58" s="1" t="s">
        <v>30</v>
      </c>
      <c r="H58" s="1" t="s">
        <v>73</v>
      </c>
      <c r="I58" s="1" t="s">
        <v>69</v>
      </c>
      <c r="J58" s="1">
        <v>8</v>
      </c>
      <c r="K58" s="1">
        <v>5</v>
      </c>
      <c r="L58" s="1">
        <v>0.1</v>
      </c>
      <c r="M58" s="1" t="s">
        <v>45</v>
      </c>
      <c r="N58" s="1" t="s">
        <v>55</v>
      </c>
    </row>
    <row r="59" spans="1:14" x14ac:dyDescent="0.25">
      <c r="A59" s="1" t="s">
        <v>190</v>
      </c>
      <c r="B59" s="3" t="s">
        <v>191</v>
      </c>
      <c r="C59" s="1" t="s">
        <v>48</v>
      </c>
      <c r="D59" s="1" t="s">
        <v>36</v>
      </c>
      <c r="E59" s="1">
        <v>39</v>
      </c>
      <c r="F59" s="1" t="s">
        <v>29</v>
      </c>
      <c r="G59" s="1" t="s">
        <v>30</v>
      </c>
      <c r="H59" s="1" t="s">
        <v>62</v>
      </c>
      <c r="I59" s="1" t="s">
        <v>23</v>
      </c>
      <c r="J59" s="1">
        <v>1</v>
      </c>
      <c r="K59" s="1">
        <v>15</v>
      </c>
      <c r="L59" s="1">
        <v>0.1</v>
      </c>
      <c r="M59" s="1" t="s">
        <v>24</v>
      </c>
      <c r="N59" s="1" t="s">
        <v>25</v>
      </c>
    </row>
    <row r="60" spans="1:14" x14ac:dyDescent="0.25">
      <c r="A60" s="1" t="s">
        <v>192</v>
      </c>
      <c r="B60" s="3" t="s">
        <v>193</v>
      </c>
      <c r="C60" s="1" t="s">
        <v>108</v>
      </c>
      <c r="D60" s="1" t="s">
        <v>36</v>
      </c>
      <c r="E60" s="1">
        <v>57</v>
      </c>
      <c r="F60" s="1" t="s">
        <v>20</v>
      </c>
      <c r="G60" s="1" t="s">
        <v>21</v>
      </c>
      <c r="H60" s="1" t="s">
        <v>22</v>
      </c>
      <c r="I60" s="1" t="s">
        <v>23</v>
      </c>
      <c r="J60" s="1">
        <v>10</v>
      </c>
      <c r="K60" s="1">
        <v>850</v>
      </c>
      <c r="L60" s="1">
        <v>0.15</v>
      </c>
      <c r="M60" s="1" t="s">
        <v>39</v>
      </c>
      <c r="N60" s="1" t="s">
        <v>51</v>
      </c>
    </row>
    <row r="61" spans="1:14" x14ac:dyDescent="0.25">
      <c r="A61" s="1" t="s">
        <v>194</v>
      </c>
      <c r="B61" s="3" t="s">
        <v>195</v>
      </c>
      <c r="C61" s="1" t="s">
        <v>87</v>
      </c>
      <c r="D61" s="1" t="s">
        <v>19</v>
      </c>
      <c r="E61" s="1">
        <v>28</v>
      </c>
      <c r="F61" s="1" t="s">
        <v>88</v>
      </c>
      <c r="G61" s="1" t="s">
        <v>89</v>
      </c>
      <c r="H61" s="1" t="s">
        <v>118</v>
      </c>
      <c r="I61" s="1" t="s">
        <v>23</v>
      </c>
      <c r="J61" s="1">
        <v>1</v>
      </c>
      <c r="K61" s="1">
        <v>180</v>
      </c>
      <c r="L61" s="1">
        <v>0.05</v>
      </c>
      <c r="M61" s="1" t="s">
        <v>39</v>
      </c>
      <c r="N61" s="1" t="s">
        <v>51</v>
      </c>
    </row>
    <row r="62" spans="1:14" x14ac:dyDescent="0.25">
      <c r="A62" s="1" t="s">
        <v>196</v>
      </c>
      <c r="B62" s="3" t="s">
        <v>197</v>
      </c>
      <c r="C62" s="1" t="s">
        <v>61</v>
      </c>
      <c r="D62" s="1" t="s">
        <v>36</v>
      </c>
      <c r="E62" s="1">
        <v>59</v>
      </c>
      <c r="F62" s="1" t="s">
        <v>37</v>
      </c>
      <c r="G62" s="1" t="s">
        <v>38</v>
      </c>
      <c r="H62" s="1" t="s">
        <v>62</v>
      </c>
      <c r="I62" s="1" t="s">
        <v>23</v>
      </c>
      <c r="J62" s="1">
        <v>5</v>
      </c>
      <c r="K62" s="1">
        <v>15</v>
      </c>
      <c r="L62" s="1">
        <v>0.15</v>
      </c>
      <c r="M62" s="1" t="s">
        <v>24</v>
      </c>
      <c r="N62" s="1" t="s">
        <v>55</v>
      </c>
    </row>
    <row r="63" spans="1:14" x14ac:dyDescent="0.25">
      <c r="A63" s="1" t="s">
        <v>198</v>
      </c>
      <c r="B63" s="3" t="s">
        <v>199</v>
      </c>
      <c r="C63" s="1" t="s">
        <v>165</v>
      </c>
      <c r="D63" s="1" t="s">
        <v>36</v>
      </c>
      <c r="E63" s="1">
        <v>40</v>
      </c>
      <c r="F63" s="1" t="s">
        <v>37</v>
      </c>
      <c r="G63" s="1" t="s">
        <v>38</v>
      </c>
      <c r="H63" s="1" t="s">
        <v>73</v>
      </c>
      <c r="I63" s="1" t="s">
        <v>69</v>
      </c>
      <c r="J63" s="1">
        <v>4</v>
      </c>
      <c r="K63" s="1">
        <v>5</v>
      </c>
      <c r="L63" s="1">
        <v>0.05</v>
      </c>
      <c r="M63" s="1" t="s">
        <v>24</v>
      </c>
      <c r="N63" s="1" t="s">
        <v>32</v>
      </c>
    </row>
    <row r="64" spans="1:14" x14ac:dyDescent="0.25">
      <c r="A64" s="1" t="s">
        <v>200</v>
      </c>
      <c r="B64" s="3" t="s">
        <v>201</v>
      </c>
      <c r="C64" s="1" t="s">
        <v>182</v>
      </c>
      <c r="D64" s="1" t="s">
        <v>36</v>
      </c>
      <c r="E64" s="1">
        <v>51</v>
      </c>
      <c r="F64" s="1" t="s">
        <v>29</v>
      </c>
      <c r="G64" s="1" t="s">
        <v>30</v>
      </c>
      <c r="H64" s="1" t="s">
        <v>68</v>
      </c>
      <c r="I64" s="1" t="s">
        <v>69</v>
      </c>
      <c r="J64" s="1">
        <v>5</v>
      </c>
      <c r="K64" s="1">
        <v>2</v>
      </c>
      <c r="L64" s="1">
        <v>0.05</v>
      </c>
      <c r="M64" s="1" t="s">
        <v>93</v>
      </c>
      <c r="N64" s="1" t="s">
        <v>25</v>
      </c>
    </row>
    <row r="65" spans="1:14" x14ac:dyDescent="0.25">
      <c r="A65" s="1" t="s">
        <v>202</v>
      </c>
      <c r="B65" s="3" t="s">
        <v>142</v>
      </c>
      <c r="C65" s="1" t="s">
        <v>102</v>
      </c>
      <c r="D65" s="1" t="s">
        <v>36</v>
      </c>
      <c r="E65" s="1">
        <v>57</v>
      </c>
      <c r="F65" s="1" t="s">
        <v>37</v>
      </c>
      <c r="G65" s="1" t="s">
        <v>38</v>
      </c>
      <c r="H65" s="1" t="s">
        <v>49</v>
      </c>
      <c r="I65" s="1" t="s">
        <v>50</v>
      </c>
      <c r="J65" s="1">
        <v>5</v>
      </c>
      <c r="K65" s="1">
        <v>120</v>
      </c>
      <c r="L65" s="1">
        <v>0.05</v>
      </c>
      <c r="M65" s="1" t="s">
        <v>24</v>
      </c>
      <c r="N65" s="1" t="s">
        <v>25</v>
      </c>
    </row>
    <row r="66" spans="1:14" x14ac:dyDescent="0.25">
      <c r="A66" s="1" t="s">
        <v>203</v>
      </c>
      <c r="B66" s="3" t="s">
        <v>157</v>
      </c>
      <c r="C66" s="1" t="s">
        <v>28</v>
      </c>
      <c r="D66" s="1" t="s">
        <v>19</v>
      </c>
      <c r="E66" s="1">
        <v>59</v>
      </c>
      <c r="F66" s="1" t="s">
        <v>37</v>
      </c>
      <c r="G66" s="1" t="s">
        <v>38</v>
      </c>
      <c r="H66" s="1" t="s">
        <v>62</v>
      </c>
      <c r="I66" s="1" t="s">
        <v>23</v>
      </c>
      <c r="J66" s="1">
        <v>6</v>
      </c>
      <c r="K66" s="1">
        <v>15</v>
      </c>
      <c r="L66" s="1">
        <v>0.05</v>
      </c>
      <c r="M66" s="1" t="s">
        <v>93</v>
      </c>
      <c r="N66" s="1" t="s">
        <v>51</v>
      </c>
    </row>
    <row r="67" spans="1:14" x14ac:dyDescent="0.25">
      <c r="A67" s="1" t="s">
        <v>204</v>
      </c>
      <c r="B67" s="3" t="s">
        <v>160</v>
      </c>
      <c r="C67" s="1" t="s">
        <v>205</v>
      </c>
      <c r="D67" s="1" t="s">
        <v>36</v>
      </c>
      <c r="E67" s="1">
        <v>59</v>
      </c>
      <c r="F67" s="1" t="s">
        <v>29</v>
      </c>
      <c r="G67" s="1" t="s">
        <v>30</v>
      </c>
      <c r="H67" s="1" t="s">
        <v>79</v>
      </c>
      <c r="I67" s="1" t="s">
        <v>23</v>
      </c>
      <c r="J67" s="1">
        <v>8</v>
      </c>
      <c r="K67" s="1">
        <v>500</v>
      </c>
      <c r="L67" s="1">
        <v>0.1</v>
      </c>
      <c r="M67" s="1" t="s">
        <v>24</v>
      </c>
      <c r="N67" s="1" t="s">
        <v>55</v>
      </c>
    </row>
    <row r="68" spans="1:14" x14ac:dyDescent="0.25">
      <c r="A68" s="1" t="s">
        <v>206</v>
      </c>
      <c r="B68" s="3" t="s">
        <v>207</v>
      </c>
      <c r="C68" s="1" t="s">
        <v>155</v>
      </c>
      <c r="D68" s="1" t="s">
        <v>36</v>
      </c>
      <c r="E68" s="1">
        <v>55</v>
      </c>
      <c r="F68" s="1" t="s">
        <v>29</v>
      </c>
      <c r="G68" s="1" t="s">
        <v>30</v>
      </c>
      <c r="H68" s="1" t="s">
        <v>73</v>
      </c>
      <c r="I68" s="1" t="s">
        <v>69</v>
      </c>
      <c r="J68" s="1">
        <v>6</v>
      </c>
      <c r="K68" s="1">
        <v>5</v>
      </c>
      <c r="L68" s="1">
        <v>0</v>
      </c>
      <c r="M68" s="1" t="s">
        <v>39</v>
      </c>
      <c r="N68" s="1" t="s">
        <v>25</v>
      </c>
    </row>
    <row r="69" spans="1:14" x14ac:dyDescent="0.25">
      <c r="A69" s="1" t="s">
        <v>208</v>
      </c>
      <c r="B69" s="3" t="s">
        <v>209</v>
      </c>
      <c r="C69" s="1" t="s">
        <v>72</v>
      </c>
      <c r="D69" s="1" t="s">
        <v>19</v>
      </c>
      <c r="E69" s="1">
        <v>32</v>
      </c>
      <c r="F69" s="1" t="s">
        <v>29</v>
      </c>
      <c r="G69" s="1" t="s">
        <v>30</v>
      </c>
      <c r="H69" s="1" t="s">
        <v>22</v>
      </c>
      <c r="I69" s="1" t="s">
        <v>23</v>
      </c>
      <c r="J69" s="1">
        <v>8</v>
      </c>
      <c r="K69" s="1">
        <v>850</v>
      </c>
      <c r="L69" s="1">
        <v>0.05</v>
      </c>
      <c r="M69" s="1" t="s">
        <v>45</v>
      </c>
      <c r="N69" s="1" t="s">
        <v>32</v>
      </c>
    </row>
    <row r="70" spans="1:14" x14ac:dyDescent="0.25">
      <c r="A70" s="1" t="s">
        <v>210</v>
      </c>
      <c r="B70" s="3" t="s">
        <v>148</v>
      </c>
      <c r="C70" s="1" t="s">
        <v>105</v>
      </c>
      <c r="D70" s="1" t="s">
        <v>19</v>
      </c>
      <c r="E70" s="1">
        <v>29</v>
      </c>
      <c r="F70" s="1" t="s">
        <v>37</v>
      </c>
      <c r="G70" s="1" t="s">
        <v>38</v>
      </c>
      <c r="H70" s="1" t="s">
        <v>109</v>
      </c>
      <c r="I70" s="1" t="s">
        <v>50</v>
      </c>
      <c r="J70" s="1">
        <v>4</v>
      </c>
      <c r="K70" s="1">
        <v>80</v>
      </c>
      <c r="L70" s="1">
        <v>0.05</v>
      </c>
      <c r="M70" s="1" t="s">
        <v>93</v>
      </c>
      <c r="N70" s="1" t="s">
        <v>25</v>
      </c>
    </row>
    <row r="71" spans="1:14" x14ac:dyDescent="0.25">
      <c r="A71" s="1" t="s">
        <v>211</v>
      </c>
      <c r="B71" s="3" t="s">
        <v>212</v>
      </c>
      <c r="C71" s="1" t="s">
        <v>136</v>
      </c>
      <c r="D71" s="1" t="s">
        <v>19</v>
      </c>
      <c r="E71" s="1">
        <v>28</v>
      </c>
      <c r="F71" s="1" t="s">
        <v>20</v>
      </c>
      <c r="G71" s="1" t="s">
        <v>21</v>
      </c>
      <c r="H71" s="1" t="s">
        <v>73</v>
      </c>
      <c r="I71" s="1" t="s">
        <v>69</v>
      </c>
      <c r="J71" s="1">
        <v>8</v>
      </c>
      <c r="K71" s="1">
        <v>5</v>
      </c>
      <c r="L71" s="1">
        <v>0.15</v>
      </c>
      <c r="M71" s="1" t="s">
        <v>45</v>
      </c>
      <c r="N71" s="1" t="s">
        <v>32</v>
      </c>
    </row>
    <row r="72" spans="1:14" x14ac:dyDescent="0.25">
      <c r="A72" s="1" t="s">
        <v>213</v>
      </c>
      <c r="B72" s="3" t="s">
        <v>214</v>
      </c>
      <c r="C72" s="1" t="s">
        <v>92</v>
      </c>
      <c r="D72" s="1" t="s">
        <v>36</v>
      </c>
      <c r="E72" s="1">
        <v>51</v>
      </c>
      <c r="F72" s="1" t="s">
        <v>37</v>
      </c>
      <c r="G72" s="1" t="s">
        <v>38</v>
      </c>
      <c r="H72" s="1" t="s">
        <v>49</v>
      </c>
      <c r="I72" s="1" t="s">
        <v>50</v>
      </c>
      <c r="J72" s="1">
        <v>8</v>
      </c>
      <c r="K72" s="1">
        <v>120</v>
      </c>
      <c r="L72" s="1">
        <v>0.1</v>
      </c>
      <c r="M72" s="1" t="s">
        <v>39</v>
      </c>
      <c r="N72" s="1" t="s">
        <v>25</v>
      </c>
    </row>
    <row r="73" spans="1:14" x14ac:dyDescent="0.25">
      <c r="A73" s="1" t="s">
        <v>215</v>
      </c>
      <c r="B73" s="3" t="s">
        <v>216</v>
      </c>
      <c r="C73" s="1" t="s">
        <v>92</v>
      </c>
      <c r="D73" s="1" t="s">
        <v>36</v>
      </c>
      <c r="E73" s="1">
        <v>60</v>
      </c>
      <c r="F73" s="1" t="s">
        <v>20</v>
      </c>
      <c r="G73" s="1" t="s">
        <v>21</v>
      </c>
      <c r="H73" s="1" t="s">
        <v>68</v>
      </c>
      <c r="I73" s="1" t="s">
        <v>69</v>
      </c>
      <c r="J73" s="1">
        <v>5</v>
      </c>
      <c r="K73" s="1">
        <v>2</v>
      </c>
      <c r="L73" s="1">
        <v>0.1</v>
      </c>
      <c r="M73" s="1" t="s">
        <v>39</v>
      </c>
      <c r="N73" s="1" t="s">
        <v>25</v>
      </c>
    </row>
    <row r="74" spans="1:14" x14ac:dyDescent="0.25">
      <c r="A74" s="1" t="s">
        <v>217</v>
      </c>
      <c r="B74" s="3" t="s">
        <v>214</v>
      </c>
      <c r="C74" s="1" t="s">
        <v>131</v>
      </c>
      <c r="D74" s="1" t="s">
        <v>19</v>
      </c>
      <c r="E74" s="1">
        <v>25</v>
      </c>
      <c r="F74" s="1" t="s">
        <v>88</v>
      </c>
      <c r="G74" s="1" t="s">
        <v>89</v>
      </c>
      <c r="H74" s="1" t="s">
        <v>49</v>
      </c>
      <c r="I74" s="1" t="s">
        <v>50</v>
      </c>
      <c r="J74" s="1">
        <v>2</v>
      </c>
      <c r="K74" s="1">
        <v>120</v>
      </c>
      <c r="L74" s="1">
        <v>0</v>
      </c>
      <c r="M74" s="1" t="s">
        <v>93</v>
      </c>
      <c r="N74" s="1" t="s">
        <v>25</v>
      </c>
    </row>
    <row r="75" spans="1:14" x14ac:dyDescent="0.25">
      <c r="A75" s="1" t="s">
        <v>218</v>
      </c>
      <c r="B75" s="3" t="s">
        <v>219</v>
      </c>
      <c r="C75" s="1" t="s">
        <v>28</v>
      </c>
      <c r="D75" s="1" t="s">
        <v>36</v>
      </c>
      <c r="E75" s="1">
        <v>44</v>
      </c>
      <c r="F75" s="1" t="s">
        <v>37</v>
      </c>
      <c r="G75" s="1" t="s">
        <v>38</v>
      </c>
      <c r="H75" s="1" t="s">
        <v>68</v>
      </c>
      <c r="I75" s="1" t="s">
        <v>69</v>
      </c>
      <c r="J75" s="1">
        <v>6</v>
      </c>
      <c r="K75" s="1">
        <v>2</v>
      </c>
      <c r="L75" s="1">
        <v>0.1</v>
      </c>
      <c r="M75" s="1" t="s">
        <v>24</v>
      </c>
      <c r="N75" s="1" t="s">
        <v>25</v>
      </c>
    </row>
    <row r="76" spans="1:14" x14ac:dyDescent="0.25">
      <c r="A76" s="1" t="s">
        <v>220</v>
      </c>
      <c r="B76" s="3" t="s">
        <v>221</v>
      </c>
      <c r="C76" s="1" t="s">
        <v>117</v>
      </c>
      <c r="D76" s="1" t="s">
        <v>19</v>
      </c>
      <c r="E76" s="1">
        <v>40</v>
      </c>
      <c r="F76" s="1" t="s">
        <v>43</v>
      </c>
      <c r="G76" s="1" t="s">
        <v>44</v>
      </c>
      <c r="H76" s="1" t="s">
        <v>73</v>
      </c>
      <c r="I76" s="1" t="s">
        <v>69</v>
      </c>
      <c r="J76" s="1">
        <v>4</v>
      </c>
      <c r="K76" s="1">
        <v>5</v>
      </c>
      <c r="L76" s="1">
        <v>0</v>
      </c>
      <c r="M76" s="1" t="s">
        <v>24</v>
      </c>
      <c r="N76" s="1" t="s">
        <v>32</v>
      </c>
    </row>
    <row r="77" spans="1:14" x14ac:dyDescent="0.25">
      <c r="A77" s="1" t="s">
        <v>222</v>
      </c>
      <c r="B77" s="3" t="s">
        <v>154</v>
      </c>
      <c r="C77" s="1" t="s">
        <v>223</v>
      </c>
      <c r="D77" s="1" t="s">
        <v>19</v>
      </c>
      <c r="E77" s="1">
        <v>36</v>
      </c>
      <c r="F77" s="1" t="s">
        <v>29</v>
      </c>
      <c r="G77" s="1" t="s">
        <v>30</v>
      </c>
      <c r="H77" s="1" t="s">
        <v>68</v>
      </c>
      <c r="I77" s="1" t="s">
        <v>69</v>
      </c>
      <c r="J77" s="1">
        <v>5</v>
      </c>
      <c r="K77" s="1">
        <v>2</v>
      </c>
      <c r="L77" s="1">
        <v>0.05</v>
      </c>
      <c r="M77" s="1" t="s">
        <v>45</v>
      </c>
      <c r="N77" s="1" t="s">
        <v>25</v>
      </c>
    </row>
    <row r="78" spans="1:14" x14ac:dyDescent="0.25">
      <c r="A78" s="1" t="s">
        <v>224</v>
      </c>
      <c r="B78" s="3" t="s">
        <v>225</v>
      </c>
      <c r="C78" s="1" t="s">
        <v>165</v>
      </c>
      <c r="D78" s="1" t="s">
        <v>19</v>
      </c>
      <c r="E78" s="1">
        <v>19</v>
      </c>
      <c r="F78" s="1" t="s">
        <v>37</v>
      </c>
      <c r="G78" s="1" t="s">
        <v>38</v>
      </c>
      <c r="H78" s="1" t="s">
        <v>79</v>
      </c>
      <c r="I78" s="1" t="s">
        <v>23</v>
      </c>
      <c r="J78" s="1">
        <v>9</v>
      </c>
      <c r="K78" s="1">
        <v>500</v>
      </c>
      <c r="L78" s="1">
        <v>0.1</v>
      </c>
      <c r="M78" s="1" t="s">
        <v>39</v>
      </c>
      <c r="N78" s="1" t="s">
        <v>32</v>
      </c>
    </row>
    <row r="79" spans="1:14" x14ac:dyDescent="0.25">
      <c r="A79" s="1" t="s">
        <v>226</v>
      </c>
      <c r="B79" s="3" t="s">
        <v>227</v>
      </c>
      <c r="C79" s="1" t="s">
        <v>92</v>
      </c>
      <c r="D79" s="1" t="s">
        <v>36</v>
      </c>
      <c r="E79" s="1">
        <v>54</v>
      </c>
      <c r="F79" s="1" t="s">
        <v>20</v>
      </c>
      <c r="G79" s="1" t="s">
        <v>21</v>
      </c>
      <c r="H79" s="1" t="s">
        <v>49</v>
      </c>
      <c r="I79" s="1" t="s">
        <v>50</v>
      </c>
      <c r="J79" s="1">
        <v>8</v>
      </c>
      <c r="K79" s="1">
        <v>120</v>
      </c>
      <c r="L79" s="1">
        <v>0.1</v>
      </c>
      <c r="M79" s="1" t="s">
        <v>45</v>
      </c>
      <c r="N79" s="1" t="s">
        <v>55</v>
      </c>
    </row>
    <row r="80" spans="1:14" x14ac:dyDescent="0.25">
      <c r="A80" s="1" t="s">
        <v>228</v>
      </c>
      <c r="B80" s="3" t="s">
        <v>53</v>
      </c>
      <c r="C80" s="1" t="s">
        <v>117</v>
      </c>
      <c r="D80" s="1" t="s">
        <v>36</v>
      </c>
      <c r="E80" s="1">
        <v>18</v>
      </c>
      <c r="F80" s="1" t="s">
        <v>43</v>
      </c>
      <c r="G80" s="1" t="s">
        <v>44</v>
      </c>
      <c r="H80" s="1" t="s">
        <v>22</v>
      </c>
      <c r="I80" s="1" t="s">
        <v>23</v>
      </c>
      <c r="J80" s="1">
        <v>1</v>
      </c>
      <c r="K80" s="1">
        <v>850</v>
      </c>
      <c r="L80" s="1">
        <v>0</v>
      </c>
      <c r="M80" s="1" t="s">
        <v>39</v>
      </c>
      <c r="N80" s="1" t="s">
        <v>51</v>
      </c>
    </row>
    <row r="81" spans="1:14" x14ac:dyDescent="0.25">
      <c r="A81" s="1" t="s">
        <v>229</v>
      </c>
      <c r="B81" s="3" t="s">
        <v>230</v>
      </c>
      <c r="C81" s="1" t="s">
        <v>96</v>
      </c>
      <c r="D81" s="1" t="s">
        <v>36</v>
      </c>
      <c r="E81" s="1">
        <v>48</v>
      </c>
      <c r="F81" s="1" t="s">
        <v>20</v>
      </c>
      <c r="G81" s="1" t="s">
        <v>21</v>
      </c>
      <c r="H81" s="1" t="s">
        <v>109</v>
      </c>
      <c r="I81" s="1" t="s">
        <v>50</v>
      </c>
      <c r="J81" s="1">
        <v>1</v>
      </c>
      <c r="K81" s="1">
        <v>80</v>
      </c>
      <c r="L81" s="1">
        <v>0.1</v>
      </c>
      <c r="M81" s="1" t="s">
        <v>93</v>
      </c>
      <c r="N81" s="1" t="s">
        <v>32</v>
      </c>
    </row>
    <row r="82" spans="1:14" x14ac:dyDescent="0.25">
      <c r="A82" s="1" t="s">
        <v>231</v>
      </c>
      <c r="B82" s="3" t="s">
        <v>232</v>
      </c>
      <c r="C82" s="1" t="s">
        <v>233</v>
      </c>
      <c r="D82" s="1" t="s">
        <v>19</v>
      </c>
      <c r="E82" s="1">
        <v>54</v>
      </c>
      <c r="F82" s="1" t="s">
        <v>88</v>
      </c>
      <c r="G82" s="1" t="s">
        <v>89</v>
      </c>
      <c r="H82" s="1" t="s">
        <v>118</v>
      </c>
      <c r="I82" s="1" t="s">
        <v>23</v>
      </c>
      <c r="J82" s="1">
        <v>6</v>
      </c>
      <c r="K82" s="1">
        <v>180</v>
      </c>
      <c r="L82" s="1">
        <v>0.1</v>
      </c>
      <c r="M82" s="1" t="s">
        <v>58</v>
      </c>
      <c r="N82" s="1" t="s">
        <v>32</v>
      </c>
    </row>
    <row r="83" spans="1:14" x14ac:dyDescent="0.25">
      <c r="A83" s="1" t="s">
        <v>234</v>
      </c>
      <c r="B83" s="3" t="s">
        <v>235</v>
      </c>
      <c r="C83" s="1" t="s">
        <v>65</v>
      </c>
      <c r="D83" s="1" t="s">
        <v>19</v>
      </c>
      <c r="E83" s="1">
        <v>56</v>
      </c>
      <c r="F83" s="1" t="s">
        <v>20</v>
      </c>
      <c r="G83" s="1" t="s">
        <v>21</v>
      </c>
      <c r="H83" s="1" t="s">
        <v>118</v>
      </c>
      <c r="I83" s="1" t="s">
        <v>23</v>
      </c>
      <c r="J83" s="1">
        <v>8</v>
      </c>
      <c r="K83" s="1">
        <v>180</v>
      </c>
      <c r="L83" s="1">
        <v>0</v>
      </c>
      <c r="M83" s="1" t="s">
        <v>39</v>
      </c>
      <c r="N83" s="1" t="s">
        <v>32</v>
      </c>
    </row>
    <row r="84" spans="1:14" x14ac:dyDescent="0.25">
      <c r="A84" s="1" t="s">
        <v>236</v>
      </c>
      <c r="B84" s="3" t="s">
        <v>237</v>
      </c>
      <c r="C84" s="1" t="s">
        <v>165</v>
      </c>
      <c r="D84" s="1" t="s">
        <v>36</v>
      </c>
      <c r="E84" s="1">
        <v>48</v>
      </c>
      <c r="F84" s="1" t="s">
        <v>43</v>
      </c>
      <c r="G84" s="1" t="s">
        <v>44</v>
      </c>
      <c r="H84" s="1" t="s">
        <v>109</v>
      </c>
      <c r="I84" s="1" t="s">
        <v>50</v>
      </c>
      <c r="J84" s="1">
        <v>10</v>
      </c>
      <c r="K84" s="1">
        <v>80</v>
      </c>
      <c r="L84" s="1">
        <v>0.05</v>
      </c>
      <c r="M84" s="1" t="s">
        <v>39</v>
      </c>
      <c r="N84" s="1" t="s">
        <v>55</v>
      </c>
    </row>
    <row r="85" spans="1:14" x14ac:dyDescent="0.25">
      <c r="A85" s="1" t="s">
        <v>238</v>
      </c>
      <c r="B85" s="3" t="s">
        <v>86</v>
      </c>
      <c r="C85" s="1" t="s">
        <v>92</v>
      </c>
      <c r="D85" s="1" t="s">
        <v>19</v>
      </c>
      <c r="E85" s="1">
        <v>42</v>
      </c>
      <c r="F85" s="1" t="s">
        <v>29</v>
      </c>
      <c r="G85" s="1" t="s">
        <v>30</v>
      </c>
      <c r="H85" s="1" t="s">
        <v>62</v>
      </c>
      <c r="I85" s="1" t="s">
        <v>23</v>
      </c>
      <c r="J85" s="1">
        <v>5</v>
      </c>
      <c r="K85" s="1">
        <v>15</v>
      </c>
      <c r="L85" s="1">
        <v>0.15</v>
      </c>
      <c r="M85" s="1" t="s">
        <v>93</v>
      </c>
      <c r="N85" s="1" t="s">
        <v>32</v>
      </c>
    </row>
    <row r="86" spans="1:14" x14ac:dyDescent="0.25">
      <c r="A86" s="1" t="s">
        <v>239</v>
      </c>
      <c r="B86" s="3" t="s">
        <v>170</v>
      </c>
      <c r="C86" s="1" t="s">
        <v>240</v>
      </c>
      <c r="D86" s="1" t="s">
        <v>19</v>
      </c>
      <c r="E86" s="1">
        <v>28</v>
      </c>
      <c r="F86" s="1" t="s">
        <v>20</v>
      </c>
      <c r="G86" s="1" t="s">
        <v>21</v>
      </c>
      <c r="H86" s="1" t="s">
        <v>49</v>
      </c>
      <c r="I86" s="1" t="s">
        <v>50</v>
      </c>
      <c r="J86" s="1">
        <v>2</v>
      </c>
      <c r="K86" s="1">
        <v>120</v>
      </c>
      <c r="L86" s="1">
        <v>0.15</v>
      </c>
      <c r="M86" s="1" t="s">
        <v>39</v>
      </c>
      <c r="N86" s="1" t="s">
        <v>25</v>
      </c>
    </row>
    <row r="87" spans="1:14" x14ac:dyDescent="0.25">
      <c r="A87" s="1" t="s">
        <v>241</v>
      </c>
      <c r="B87" s="3" t="s">
        <v>242</v>
      </c>
      <c r="C87" s="1" t="s">
        <v>243</v>
      </c>
      <c r="D87" s="1" t="s">
        <v>19</v>
      </c>
      <c r="E87" s="1">
        <v>28</v>
      </c>
      <c r="F87" s="1" t="s">
        <v>37</v>
      </c>
      <c r="G87" s="1" t="s">
        <v>38</v>
      </c>
      <c r="H87" s="1" t="s">
        <v>109</v>
      </c>
      <c r="I87" s="1" t="s">
        <v>50</v>
      </c>
      <c r="J87" s="1">
        <v>8</v>
      </c>
      <c r="K87" s="1">
        <v>80</v>
      </c>
      <c r="L87" s="1">
        <v>0</v>
      </c>
      <c r="M87" s="1" t="s">
        <v>24</v>
      </c>
      <c r="N87" s="1" t="s">
        <v>25</v>
      </c>
    </row>
    <row r="88" spans="1:14" x14ac:dyDescent="0.25">
      <c r="A88" s="1" t="s">
        <v>244</v>
      </c>
      <c r="B88" s="3" t="s">
        <v>245</v>
      </c>
      <c r="C88" s="1" t="s">
        <v>136</v>
      </c>
      <c r="D88" s="1" t="s">
        <v>36</v>
      </c>
      <c r="E88" s="1">
        <v>48</v>
      </c>
      <c r="F88" s="1" t="s">
        <v>20</v>
      </c>
      <c r="G88" s="1" t="s">
        <v>21</v>
      </c>
      <c r="H88" s="1" t="s">
        <v>73</v>
      </c>
      <c r="I88" s="1" t="s">
        <v>69</v>
      </c>
      <c r="J88" s="1">
        <v>2</v>
      </c>
      <c r="K88" s="1">
        <v>5</v>
      </c>
      <c r="L88" s="1">
        <v>0</v>
      </c>
      <c r="M88" s="1" t="s">
        <v>58</v>
      </c>
      <c r="N88" s="1" t="s">
        <v>32</v>
      </c>
    </row>
    <row r="89" spans="1:14" x14ac:dyDescent="0.25">
      <c r="A89" s="1" t="s">
        <v>246</v>
      </c>
      <c r="B89" s="3" t="s">
        <v>77</v>
      </c>
      <c r="C89" s="1" t="s">
        <v>145</v>
      </c>
      <c r="D89" s="1" t="s">
        <v>36</v>
      </c>
      <c r="E89" s="1">
        <v>24</v>
      </c>
      <c r="F89" s="1" t="s">
        <v>43</v>
      </c>
      <c r="G89" s="1" t="s">
        <v>44</v>
      </c>
      <c r="H89" s="1" t="s">
        <v>68</v>
      </c>
      <c r="I89" s="1" t="s">
        <v>69</v>
      </c>
      <c r="J89" s="1">
        <v>9</v>
      </c>
      <c r="K89" s="1">
        <v>2</v>
      </c>
      <c r="L89" s="1">
        <v>0.15</v>
      </c>
      <c r="M89" s="1" t="s">
        <v>93</v>
      </c>
      <c r="N89" s="1" t="s">
        <v>25</v>
      </c>
    </row>
    <row r="90" spans="1:14" x14ac:dyDescent="0.25">
      <c r="A90" s="1" t="s">
        <v>247</v>
      </c>
      <c r="B90" s="3" t="s">
        <v>248</v>
      </c>
      <c r="C90" s="1" t="s">
        <v>188</v>
      </c>
      <c r="D90" s="1" t="s">
        <v>36</v>
      </c>
      <c r="E90" s="1">
        <v>21</v>
      </c>
      <c r="F90" s="1" t="s">
        <v>29</v>
      </c>
      <c r="G90" s="1" t="s">
        <v>30</v>
      </c>
      <c r="H90" s="1" t="s">
        <v>22</v>
      </c>
      <c r="I90" s="1" t="s">
        <v>23</v>
      </c>
      <c r="J90" s="1">
        <v>3</v>
      </c>
      <c r="K90" s="1">
        <v>850</v>
      </c>
      <c r="L90" s="1">
        <v>0.05</v>
      </c>
      <c r="M90" s="1" t="s">
        <v>31</v>
      </c>
      <c r="N90" s="1" t="s">
        <v>55</v>
      </c>
    </row>
    <row r="91" spans="1:14" x14ac:dyDescent="0.25">
      <c r="A91" s="1" t="s">
        <v>249</v>
      </c>
      <c r="B91" s="3" t="s">
        <v>250</v>
      </c>
      <c r="C91" s="1" t="s">
        <v>251</v>
      </c>
      <c r="D91" s="1" t="s">
        <v>36</v>
      </c>
      <c r="E91" s="1">
        <v>42</v>
      </c>
      <c r="F91" s="1" t="s">
        <v>29</v>
      </c>
      <c r="G91" s="1" t="s">
        <v>30</v>
      </c>
      <c r="H91" s="1" t="s">
        <v>62</v>
      </c>
      <c r="I91" s="1" t="s">
        <v>23</v>
      </c>
      <c r="J91" s="1">
        <v>3</v>
      </c>
      <c r="K91" s="1">
        <v>15</v>
      </c>
      <c r="L91" s="1">
        <v>0.1</v>
      </c>
      <c r="M91" s="1" t="s">
        <v>93</v>
      </c>
      <c r="N91" s="1" t="s">
        <v>32</v>
      </c>
    </row>
    <row r="92" spans="1:14" x14ac:dyDescent="0.25">
      <c r="A92" s="1" t="s">
        <v>252</v>
      </c>
      <c r="B92" s="3" t="s">
        <v>253</v>
      </c>
      <c r="C92" s="1" t="s">
        <v>99</v>
      </c>
      <c r="D92" s="1" t="s">
        <v>19</v>
      </c>
      <c r="E92" s="1">
        <v>26</v>
      </c>
      <c r="F92" s="1" t="s">
        <v>29</v>
      </c>
      <c r="G92" s="1" t="s">
        <v>30</v>
      </c>
      <c r="H92" s="1" t="s">
        <v>22</v>
      </c>
      <c r="I92" s="1" t="s">
        <v>23</v>
      </c>
      <c r="J92" s="1">
        <v>7</v>
      </c>
      <c r="K92" s="1">
        <v>850</v>
      </c>
      <c r="L92" s="1">
        <v>0.1</v>
      </c>
      <c r="M92" s="1" t="s">
        <v>93</v>
      </c>
      <c r="N92" s="1" t="s">
        <v>51</v>
      </c>
    </row>
    <row r="93" spans="1:14" x14ac:dyDescent="0.25">
      <c r="A93" s="1" t="s">
        <v>254</v>
      </c>
      <c r="B93" s="3" t="s">
        <v>255</v>
      </c>
      <c r="C93" s="1" t="s">
        <v>256</v>
      </c>
      <c r="D93" s="1" t="s">
        <v>36</v>
      </c>
      <c r="E93" s="1">
        <v>54</v>
      </c>
      <c r="F93" s="1" t="s">
        <v>20</v>
      </c>
      <c r="G93" s="1" t="s">
        <v>21</v>
      </c>
      <c r="H93" s="1" t="s">
        <v>49</v>
      </c>
      <c r="I93" s="1" t="s">
        <v>50</v>
      </c>
      <c r="J93" s="1">
        <v>2</v>
      </c>
      <c r="K93" s="1">
        <v>120</v>
      </c>
      <c r="L93" s="1">
        <v>0.05</v>
      </c>
      <c r="M93" s="1" t="s">
        <v>93</v>
      </c>
      <c r="N93" s="1" t="s">
        <v>32</v>
      </c>
    </row>
    <row r="94" spans="1:14" x14ac:dyDescent="0.25">
      <c r="A94" s="1" t="s">
        <v>257</v>
      </c>
      <c r="B94" s="3" t="s">
        <v>107</v>
      </c>
      <c r="C94" s="1" t="s">
        <v>258</v>
      </c>
      <c r="D94" s="1" t="s">
        <v>36</v>
      </c>
      <c r="E94" s="1">
        <v>57</v>
      </c>
      <c r="F94" s="1" t="s">
        <v>88</v>
      </c>
      <c r="G94" s="1" t="s">
        <v>89</v>
      </c>
      <c r="H94" s="1" t="s">
        <v>68</v>
      </c>
      <c r="I94" s="1" t="s">
        <v>69</v>
      </c>
      <c r="J94" s="1">
        <v>6</v>
      </c>
      <c r="K94" s="1">
        <v>2</v>
      </c>
      <c r="L94" s="1">
        <v>0.15</v>
      </c>
      <c r="M94" s="1" t="s">
        <v>39</v>
      </c>
      <c r="N94" s="1" t="s">
        <v>32</v>
      </c>
    </row>
    <row r="95" spans="1:14" x14ac:dyDescent="0.25">
      <c r="A95" s="1" t="s">
        <v>259</v>
      </c>
      <c r="B95" s="3" t="s">
        <v>260</v>
      </c>
      <c r="C95" s="1" t="s">
        <v>35</v>
      </c>
      <c r="D95" s="1" t="s">
        <v>19</v>
      </c>
      <c r="E95" s="1">
        <v>34</v>
      </c>
      <c r="F95" s="1" t="s">
        <v>29</v>
      </c>
      <c r="G95" s="1" t="s">
        <v>30</v>
      </c>
      <c r="H95" s="1" t="s">
        <v>118</v>
      </c>
      <c r="I95" s="1" t="s">
        <v>23</v>
      </c>
      <c r="J95" s="1">
        <v>6</v>
      </c>
      <c r="K95" s="1">
        <v>180</v>
      </c>
      <c r="L95" s="1">
        <v>0.15</v>
      </c>
      <c r="M95" s="1" t="s">
        <v>58</v>
      </c>
      <c r="N95" s="1" t="s">
        <v>51</v>
      </c>
    </row>
    <row r="96" spans="1:14" x14ac:dyDescent="0.25">
      <c r="A96" s="1" t="s">
        <v>261</v>
      </c>
      <c r="B96" s="3" t="s">
        <v>216</v>
      </c>
      <c r="C96" s="1" t="s">
        <v>92</v>
      </c>
      <c r="D96" s="1" t="s">
        <v>19</v>
      </c>
      <c r="E96" s="1">
        <v>49</v>
      </c>
      <c r="F96" s="1" t="s">
        <v>37</v>
      </c>
      <c r="G96" s="1" t="s">
        <v>38</v>
      </c>
      <c r="H96" s="1" t="s">
        <v>118</v>
      </c>
      <c r="I96" s="1" t="s">
        <v>23</v>
      </c>
      <c r="J96" s="1">
        <v>9</v>
      </c>
      <c r="K96" s="1">
        <v>180</v>
      </c>
      <c r="L96" s="1">
        <v>0.15</v>
      </c>
      <c r="M96" s="1" t="s">
        <v>31</v>
      </c>
      <c r="N96" s="1" t="s">
        <v>55</v>
      </c>
    </row>
    <row r="97" spans="1:14" x14ac:dyDescent="0.25">
      <c r="A97" s="1" t="s">
        <v>262</v>
      </c>
      <c r="B97" s="3" t="s">
        <v>263</v>
      </c>
      <c r="C97" s="1" t="s">
        <v>126</v>
      </c>
      <c r="D97" s="1" t="s">
        <v>19</v>
      </c>
      <c r="E97" s="1">
        <v>59</v>
      </c>
      <c r="F97" s="1" t="s">
        <v>37</v>
      </c>
      <c r="G97" s="1" t="s">
        <v>38</v>
      </c>
      <c r="H97" s="1" t="s">
        <v>73</v>
      </c>
      <c r="I97" s="1" t="s">
        <v>69</v>
      </c>
      <c r="J97" s="1">
        <v>5</v>
      </c>
      <c r="K97" s="1">
        <v>5</v>
      </c>
      <c r="L97" s="1">
        <v>0.05</v>
      </c>
      <c r="M97" s="1" t="s">
        <v>45</v>
      </c>
      <c r="N97" s="1" t="s">
        <v>25</v>
      </c>
    </row>
    <row r="98" spans="1:14" x14ac:dyDescent="0.25">
      <c r="A98" s="1" t="s">
        <v>264</v>
      </c>
      <c r="B98" s="3" t="s">
        <v>265</v>
      </c>
      <c r="C98" s="1" t="s">
        <v>266</v>
      </c>
      <c r="D98" s="1" t="s">
        <v>19</v>
      </c>
      <c r="E98" s="1">
        <v>39</v>
      </c>
      <c r="F98" s="1" t="s">
        <v>43</v>
      </c>
      <c r="G98" s="1" t="s">
        <v>44</v>
      </c>
      <c r="H98" s="1" t="s">
        <v>22</v>
      </c>
      <c r="I98" s="1" t="s">
        <v>23</v>
      </c>
      <c r="J98" s="1">
        <v>3</v>
      </c>
      <c r="K98" s="1">
        <v>850</v>
      </c>
      <c r="L98" s="1">
        <v>0</v>
      </c>
      <c r="M98" s="1" t="s">
        <v>58</v>
      </c>
      <c r="N98" s="1" t="s">
        <v>55</v>
      </c>
    </row>
    <row r="99" spans="1:14" x14ac:dyDescent="0.25">
      <c r="A99" s="1" t="s">
        <v>267</v>
      </c>
      <c r="B99" s="3" t="s">
        <v>81</v>
      </c>
      <c r="C99" s="1" t="s">
        <v>268</v>
      </c>
      <c r="D99" s="1" t="s">
        <v>19</v>
      </c>
      <c r="E99" s="1">
        <v>22</v>
      </c>
      <c r="F99" s="1" t="s">
        <v>20</v>
      </c>
      <c r="G99" s="1" t="s">
        <v>21</v>
      </c>
      <c r="H99" s="1" t="s">
        <v>68</v>
      </c>
      <c r="I99" s="1" t="s">
        <v>69</v>
      </c>
      <c r="J99" s="1">
        <v>10</v>
      </c>
      <c r="K99" s="1">
        <v>2</v>
      </c>
      <c r="L99" s="1">
        <v>0.1</v>
      </c>
      <c r="M99" s="1" t="s">
        <v>31</v>
      </c>
      <c r="N99" s="1" t="s">
        <v>51</v>
      </c>
    </row>
    <row r="100" spans="1:14" x14ac:dyDescent="0.25">
      <c r="A100" s="1" t="s">
        <v>269</v>
      </c>
      <c r="B100" s="3" t="s">
        <v>221</v>
      </c>
      <c r="C100" s="1" t="s">
        <v>48</v>
      </c>
      <c r="D100" s="1" t="s">
        <v>36</v>
      </c>
      <c r="E100" s="1">
        <v>54</v>
      </c>
      <c r="F100" s="1" t="s">
        <v>37</v>
      </c>
      <c r="G100" s="1" t="s">
        <v>38</v>
      </c>
      <c r="H100" s="1" t="s">
        <v>62</v>
      </c>
      <c r="I100" s="1" t="s">
        <v>23</v>
      </c>
      <c r="J100" s="1">
        <v>7</v>
      </c>
      <c r="K100" s="1">
        <v>15</v>
      </c>
      <c r="L100" s="1">
        <v>0</v>
      </c>
      <c r="M100" s="1" t="s">
        <v>31</v>
      </c>
      <c r="N100" s="1" t="s">
        <v>51</v>
      </c>
    </row>
    <row r="101" spans="1:14" x14ac:dyDescent="0.25">
      <c r="A101" s="1" t="s">
        <v>270</v>
      </c>
      <c r="B101" s="3" t="s">
        <v>271</v>
      </c>
      <c r="C101" s="1" t="s">
        <v>182</v>
      </c>
      <c r="D101" s="1" t="s">
        <v>19</v>
      </c>
      <c r="E101" s="1">
        <v>43</v>
      </c>
      <c r="F101" s="1" t="s">
        <v>20</v>
      </c>
      <c r="G101" s="1" t="s">
        <v>21</v>
      </c>
      <c r="H101" s="1" t="s">
        <v>49</v>
      </c>
      <c r="I101" s="1" t="s">
        <v>50</v>
      </c>
      <c r="J101" s="1">
        <v>9</v>
      </c>
      <c r="K101" s="1">
        <v>120</v>
      </c>
      <c r="L101" s="1">
        <v>0</v>
      </c>
      <c r="M101" s="1" t="s">
        <v>45</v>
      </c>
      <c r="N101" s="1" t="s">
        <v>32</v>
      </c>
    </row>
    <row r="102" spans="1:14" x14ac:dyDescent="0.25">
      <c r="A102" s="1" t="s">
        <v>272</v>
      </c>
      <c r="B102" s="3" t="s">
        <v>148</v>
      </c>
      <c r="C102" s="1" t="s">
        <v>155</v>
      </c>
      <c r="D102" s="1" t="s">
        <v>36</v>
      </c>
      <c r="E102" s="1">
        <v>33</v>
      </c>
      <c r="F102" s="1" t="s">
        <v>37</v>
      </c>
      <c r="G102" s="1" t="s">
        <v>38</v>
      </c>
      <c r="H102" s="1" t="s">
        <v>68</v>
      </c>
      <c r="I102" s="1" t="s">
        <v>69</v>
      </c>
      <c r="J102" s="1">
        <v>5</v>
      </c>
      <c r="K102" s="1">
        <v>2</v>
      </c>
      <c r="L102" s="1">
        <v>0.1</v>
      </c>
      <c r="M102" s="1" t="s">
        <v>39</v>
      </c>
      <c r="N102" s="1" t="s">
        <v>55</v>
      </c>
    </row>
    <row r="103" spans="1:14" x14ac:dyDescent="0.25">
      <c r="A103" s="1" t="s">
        <v>273</v>
      </c>
      <c r="B103" s="3" t="s">
        <v>53</v>
      </c>
      <c r="C103" s="1" t="s">
        <v>54</v>
      </c>
      <c r="D103" s="1" t="s">
        <v>19</v>
      </c>
      <c r="E103" s="1">
        <v>20</v>
      </c>
      <c r="F103" s="1" t="s">
        <v>37</v>
      </c>
      <c r="G103" s="1" t="s">
        <v>38</v>
      </c>
      <c r="H103" s="1" t="s">
        <v>109</v>
      </c>
      <c r="I103" s="1" t="s">
        <v>50</v>
      </c>
      <c r="J103" s="1">
        <v>8</v>
      </c>
      <c r="K103" s="1">
        <v>80</v>
      </c>
      <c r="L103" s="1">
        <v>0.05</v>
      </c>
      <c r="M103" s="1" t="s">
        <v>39</v>
      </c>
      <c r="N103" s="1" t="s">
        <v>55</v>
      </c>
    </row>
    <row r="104" spans="1:14" x14ac:dyDescent="0.25">
      <c r="A104" s="1" t="s">
        <v>274</v>
      </c>
      <c r="B104" s="3" t="s">
        <v>275</v>
      </c>
      <c r="C104" s="1" t="s">
        <v>152</v>
      </c>
      <c r="D104" s="1" t="s">
        <v>36</v>
      </c>
      <c r="E104" s="1">
        <v>41</v>
      </c>
      <c r="F104" s="1" t="s">
        <v>29</v>
      </c>
      <c r="G104" s="1" t="s">
        <v>30</v>
      </c>
      <c r="H104" s="1" t="s">
        <v>62</v>
      </c>
      <c r="I104" s="1" t="s">
        <v>23</v>
      </c>
      <c r="J104" s="1">
        <v>8</v>
      </c>
      <c r="K104" s="1">
        <v>15</v>
      </c>
      <c r="L104" s="1">
        <v>0.05</v>
      </c>
      <c r="M104" s="1" t="s">
        <v>39</v>
      </c>
      <c r="N104" s="1" t="s">
        <v>32</v>
      </c>
    </row>
    <row r="105" spans="1:14" x14ac:dyDescent="0.25">
      <c r="A105" s="1" t="s">
        <v>276</v>
      </c>
      <c r="B105" s="3" t="s">
        <v>277</v>
      </c>
      <c r="C105" s="1" t="s">
        <v>233</v>
      </c>
      <c r="D105" s="1" t="s">
        <v>36</v>
      </c>
      <c r="E105" s="1">
        <v>28</v>
      </c>
      <c r="F105" s="1" t="s">
        <v>29</v>
      </c>
      <c r="G105" s="1" t="s">
        <v>30</v>
      </c>
      <c r="H105" s="1" t="s">
        <v>62</v>
      </c>
      <c r="I105" s="1" t="s">
        <v>23</v>
      </c>
      <c r="J105" s="1">
        <v>1</v>
      </c>
      <c r="K105" s="1">
        <v>15</v>
      </c>
      <c r="L105" s="1">
        <v>0</v>
      </c>
      <c r="M105" s="1" t="s">
        <v>39</v>
      </c>
      <c r="N105" s="1" t="s">
        <v>25</v>
      </c>
    </row>
    <row r="106" spans="1:14" x14ac:dyDescent="0.25">
      <c r="A106" s="1" t="s">
        <v>278</v>
      </c>
      <c r="B106" s="3" t="s">
        <v>279</v>
      </c>
      <c r="C106" s="1" t="s">
        <v>266</v>
      </c>
      <c r="D106" s="1" t="s">
        <v>36</v>
      </c>
      <c r="E106" s="1">
        <v>35</v>
      </c>
      <c r="F106" s="1" t="s">
        <v>29</v>
      </c>
      <c r="G106" s="1" t="s">
        <v>30</v>
      </c>
      <c r="H106" s="1" t="s">
        <v>22</v>
      </c>
      <c r="I106" s="1" t="s">
        <v>23</v>
      </c>
      <c r="J106" s="1">
        <v>6</v>
      </c>
      <c r="K106" s="1">
        <v>850</v>
      </c>
      <c r="L106" s="1">
        <v>0.1</v>
      </c>
      <c r="M106" s="1" t="s">
        <v>24</v>
      </c>
      <c r="N106" s="1" t="s">
        <v>25</v>
      </c>
    </row>
    <row r="107" spans="1:14" x14ac:dyDescent="0.25">
      <c r="A107" s="1" t="s">
        <v>280</v>
      </c>
      <c r="B107" s="3" t="s">
        <v>271</v>
      </c>
      <c r="C107" s="1" t="s">
        <v>223</v>
      </c>
      <c r="D107" s="1" t="s">
        <v>36</v>
      </c>
      <c r="E107" s="1">
        <v>24</v>
      </c>
      <c r="F107" s="1" t="s">
        <v>20</v>
      </c>
      <c r="G107" s="1" t="s">
        <v>21</v>
      </c>
      <c r="H107" s="1" t="s">
        <v>118</v>
      </c>
      <c r="I107" s="1" t="s">
        <v>23</v>
      </c>
      <c r="J107" s="1">
        <v>1</v>
      </c>
      <c r="K107" s="1">
        <v>180</v>
      </c>
      <c r="L107" s="1">
        <v>0.15</v>
      </c>
      <c r="M107" s="1" t="s">
        <v>39</v>
      </c>
      <c r="N107" s="1" t="s">
        <v>25</v>
      </c>
    </row>
    <row r="108" spans="1:14" x14ac:dyDescent="0.25">
      <c r="A108" s="1" t="s">
        <v>281</v>
      </c>
      <c r="B108" s="3" t="s">
        <v>282</v>
      </c>
      <c r="C108" s="1" t="s">
        <v>205</v>
      </c>
      <c r="D108" s="1" t="s">
        <v>36</v>
      </c>
      <c r="E108" s="1">
        <v>45</v>
      </c>
      <c r="F108" s="1" t="s">
        <v>88</v>
      </c>
      <c r="G108" s="1" t="s">
        <v>89</v>
      </c>
      <c r="H108" s="1" t="s">
        <v>49</v>
      </c>
      <c r="I108" s="1" t="s">
        <v>50</v>
      </c>
      <c r="J108" s="1">
        <v>8</v>
      </c>
      <c r="K108" s="1">
        <v>120</v>
      </c>
      <c r="L108" s="1">
        <v>0.05</v>
      </c>
      <c r="M108" s="1" t="s">
        <v>31</v>
      </c>
      <c r="N108" s="1" t="s">
        <v>32</v>
      </c>
    </row>
    <row r="109" spans="1:14" x14ac:dyDescent="0.25">
      <c r="A109" s="1" t="s">
        <v>283</v>
      </c>
      <c r="B109" s="3" t="s">
        <v>284</v>
      </c>
      <c r="C109" s="1" t="s">
        <v>251</v>
      </c>
      <c r="D109" s="1" t="s">
        <v>36</v>
      </c>
      <c r="E109" s="1">
        <v>23</v>
      </c>
      <c r="F109" s="1" t="s">
        <v>37</v>
      </c>
      <c r="G109" s="1" t="s">
        <v>38</v>
      </c>
      <c r="H109" s="1" t="s">
        <v>73</v>
      </c>
      <c r="I109" s="1" t="s">
        <v>69</v>
      </c>
      <c r="J109" s="1">
        <v>1</v>
      </c>
      <c r="K109" s="1">
        <v>5</v>
      </c>
      <c r="L109" s="1">
        <v>0.1</v>
      </c>
      <c r="M109" s="1" t="s">
        <v>31</v>
      </c>
      <c r="N109" s="1" t="s">
        <v>51</v>
      </c>
    </row>
    <row r="110" spans="1:14" x14ac:dyDescent="0.25">
      <c r="A110" s="1" t="s">
        <v>285</v>
      </c>
      <c r="B110" s="3" t="s">
        <v>286</v>
      </c>
      <c r="C110" s="1" t="s">
        <v>149</v>
      </c>
      <c r="D110" s="1" t="s">
        <v>19</v>
      </c>
      <c r="E110" s="1">
        <v>33</v>
      </c>
      <c r="F110" s="1" t="s">
        <v>88</v>
      </c>
      <c r="G110" s="1" t="s">
        <v>89</v>
      </c>
      <c r="H110" s="1" t="s">
        <v>62</v>
      </c>
      <c r="I110" s="1" t="s">
        <v>23</v>
      </c>
      <c r="J110" s="1">
        <v>1</v>
      </c>
      <c r="K110" s="1">
        <v>15</v>
      </c>
      <c r="L110" s="1">
        <v>0</v>
      </c>
      <c r="M110" s="1" t="s">
        <v>39</v>
      </c>
      <c r="N110" s="1" t="s">
        <v>32</v>
      </c>
    </row>
    <row r="111" spans="1:14" x14ac:dyDescent="0.25">
      <c r="A111" s="1" t="s">
        <v>287</v>
      </c>
      <c r="B111" s="3" t="s">
        <v>288</v>
      </c>
      <c r="C111" s="1" t="s">
        <v>289</v>
      </c>
      <c r="D111" s="1" t="s">
        <v>19</v>
      </c>
      <c r="E111" s="1">
        <v>33</v>
      </c>
      <c r="F111" s="1" t="s">
        <v>29</v>
      </c>
      <c r="G111" s="1" t="s">
        <v>30</v>
      </c>
      <c r="H111" s="1" t="s">
        <v>22</v>
      </c>
      <c r="I111" s="1" t="s">
        <v>23</v>
      </c>
      <c r="J111" s="1">
        <v>3</v>
      </c>
      <c r="K111" s="1">
        <v>850</v>
      </c>
      <c r="L111" s="1">
        <v>0.15</v>
      </c>
      <c r="M111" s="1" t="s">
        <v>93</v>
      </c>
      <c r="N111" s="1" t="s">
        <v>51</v>
      </c>
    </row>
    <row r="112" spans="1:14" x14ac:dyDescent="0.25">
      <c r="A112" s="1" t="s">
        <v>290</v>
      </c>
      <c r="B112" s="3" t="s">
        <v>291</v>
      </c>
      <c r="C112" s="1" t="s">
        <v>123</v>
      </c>
      <c r="D112" s="1" t="s">
        <v>36</v>
      </c>
      <c r="E112" s="1">
        <v>53</v>
      </c>
      <c r="F112" s="1" t="s">
        <v>29</v>
      </c>
      <c r="G112" s="1" t="s">
        <v>30</v>
      </c>
      <c r="H112" s="1" t="s">
        <v>62</v>
      </c>
      <c r="I112" s="1" t="s">
        <v>23</v>
      </c>
      <c r="J112" s="1">
        <v>6</v>
      </c>
      <c r="K112" s="1">
        <v>15</v>
      </c>
      <c r="L112" s="1">
        <v>0.15</v>
      </c>
      <c r="M112" s="1" t="s">
        <v>58</v>
      </c>
      <c r="N112" s="1" t="s">
        <v>51</v>
      </c>
    </row>
    <row r="113" spans="1:14" x14ac:dyDescent="0.25">
      <c r="A113" s="1" t="s">
        <v>292</v>
      </c>
      <c r="B113" s="3" t="s">
        <v>120</v>
      </c>
      <c r="C113" s="1" t="s">
        <v>149</v>
      </c>
      <c r="D113" s="1" t="s">
        <v>36</v>
      </c>
      <c r="E113" s="1">
        <v>55</v>
      </c>
      <c r="F113" s="1" t="s">
        <v>20</v>
      </c>
      <c r="G113" s="1" t="s">
        <v>21</v>
      </c>
      <c r="H113" s="1" t="s">
        <v>68</v>
      </c>
      <c r="I113" s="1" t="s">
        <v>69</v>
      </c>
      <c r="J113" s="1">
        <v>2</v>
      </c>
      <c r="K113" s="1">
        <v>2</v>
      </c>
      <c r="L113" s="1">
        <v>0.15</v>
      </c>
      <c r="M113" s="1" t="s">
        <v>31</v>
      </c>
      <c r="N113" s="1" t="s">
        <v>51</v>
      </c>
    </row>
    <row r="114" spans="1:14" x14ac:dyDescent="0.25">
      <c r="A114" s="1" t="s">
        <v>293</v>
      </c>
      <c r="B114" s="3" t="s">
        <v>227</v>
      </c>
      <c r="C114" s="1" t="s">
        <v>294</v>
      </c>
      <c r="D114" s="1" t="s">
        <v>36</v>
      </c>
      <c r="E114" s="1">
        <v>47</v>
      </c>
      <c r="F114" s="1" t="s">
        <v>29</v>
      </c>
      <c r="G114" s="1" t="s">
        <v>30</v>
      </c>
      <c r="H114" s="1" t="s">
        <v>22</v>
      </c>
      <c r="I114" s="1" t="s">
        <v>23</v>
      </c>
      <c r="J114" s="1">
        <v>5</v>
      </c>
      <c r="K114" s="1">
        <v>850</v>
      </c>
      <c r="L114" s="1">
        <v>0.05</v>
      </c>
      <c r="M114" s="1" t="s">
        <v>39</v>
      </c>
      <c r="N114" s="1" t="s">
        <v>51</v>
      </c>
    </row>
    <row r="115" spans="1:14" x14ac:dyDescent="0.25">
      <c r="A115" s="1" t="s">
        <v>295</v>
      </c>
      <c r="B115" s="3" t="s">
        <v>138</v>
      </c>
      <c r="C115" s="1" t="s">
        <v>180</v>
      </c>
      <c r="D115" s="1" t="s">
        <v>19</v>
      </c>
      <c r="E115" s="1">
        <v>60</v>
      </c>
      <c r="F115" s="1" t="s">
        <v>20</v>
      </c>
      <c r="G115" s="1" t="s">
        <v>21</v>
      </c>
      <c r="H115" s="1" t="s">
        <v>22</v>
      </c>
      <c r="I115" s="1" t="s">
        <v>23</v>
      </c>
      <c r="J115" s="1">
        <v>4</v>
      </c>
      <c r="K115" s="1">
        <v>850</v>
      </c>
      <c r="L115" s="1">
        <v>0.1</v>
      </c>
      <c r="M115" s="1" t="s">
        <v>45</v>
      </c>
      <c r="N115" s="1" t="s">
        <v>32</v>
      </c>
    </row>
    <row r="116" spans="1:14" x14ac:dyDescent="0.25">
      <c r="A116" s="1" t="s">
        <v>296</v>
      </c>
      <c r="B116" s="3" t="s">
        <v>271</v>
      </c>
      <c r="C116" s="1" t="s">
        <v>145</v>
      </c>
      <c r="D116" s="1" t="s">
        <v>36</v>
      </c>
      <c r="E116" s="1">
        <v>50</v>
      </c>
      <c r="F116" s="1" t="s">
        <v>88</v>
      </c>
      <c r="G116" s="1" t="s">
        <v>89</v>
      </c>
      <c r="H116" s="1" t="s">
        <v>62</v>
      </c>
      <c r="I116" s="1" t="s">
        <v>23</v>
      </c>
      <c r="J116" s="1">
        <v>9</v>
      </c>
      <c r="K116" s="1">
        <v>15</v>
      </c>
      <c r="L116" s="1">
        <v>0.05</v>
      </c>
      <c r="M116" s="1" t="s">
        <v>31</v>
      </c>
      <c r="N116" s="1" t="s">
        <v>55</v>
      </c>
    </row>
    <row r="117" spans="1:14" x14ac:dyDescent="0.25">
      <c r="A117" s="1" t="s">
        <v>297</v>
      </c>
      <c r="B117" s="3" t="s">
        <v>214</v>
      </c>
      <c r="C117" s="1" t="s">
        <v>165</v>
      </c>
      <c r="D117" s="1" t="s">
        <v>19</v>
      </c>
      <c r="E117" s="1">
        <v>53</v>
      </c>
      <c r="F117" s="1" t="s">
        <v>29</v>
      </c>
      <c r="G117" s="1" t="s">
        <v>30</v>
      </c>
      <c r="H117" s="1" t="s">
        <v>109</v>
      </c>
      <c r="I117" s="1" t="s">
        <v>50</v>
      </c>
      <c r="J117" s="1">
        <v>6</v>
      </c>
      <c r="K117" s="1">
        <v>80</v>
      </c>
      <c r="L117" s="1">
        <v>0</v>
      </c>
      <c r="M117" s="1" t="s">
        <v>39</v>
      </c>
      <c r="N117" s="1" t="s">
        <v>55</v>
      </c>
    </row>
    <row r="118" spans="1:14" x14ac:dyDescent="0.25">
      <c r="A118" s="1" t="s">
        <v>298</v>
      </c>
      <c r="B118" s="3" t="s">
        <v>299</v>
      </c>
      <c r="C118" s="1" t="s">
        <v>48</v>
      </c>
      <c r="D118" s="1" t="s">
        <v>36</v>
      </c>
      <c r="E118" s="1">
        <v>23</v>
      </c>
      <c r="F118" s="1" t="s">
        <v>88</v>
      </c>
      <c r="G118" s="1" t="s">
        <v>89</v>
      </c>
      <c r="H118" s="1" t="s">
        <v>68</v>
      </c>
      <c r="I118" s="1" t="s">
        <v>69</v>
      </c>
      <c r="J118" s="1">
        <v>3</v>
      </c>
      <c r="K118" s="1">
        <v>2</v>
      </c>
      <c r="L118" s="1">
        <v>0</v>
      </c>
      <c r="M118" s="1" t="s">
        <v>39</v>
      </c>
      <c r="N118" s="1" t="s">
        <v>55</v>
      </c>
    </row>
    <row r="119" spans="1:14" x14ac:dyDescent="0.25">
      <c r="A119" s="1" t="s">
        <v>300</v>
      </c>
      <c r="B119" s="3" t="s">
        <v>260</v>
      </c>
      <c r="C119" s="1" t="s">
        <v>114</v>
      </c>
      <c r="D119" s="1" t="s">
        <v>36</v>
      </c>
      <c r="E119" s="1">
        <v>31</v>
      </c>
      <c r="F119" s="1" t="s">
        <v>29</v>
      </c>
      <c r="G119" s="1" t="s">
        <v>30</v>
      </c>
      <c r="H119" s="1" t="s">
        <v>109</v>
      </c>
      <c r="I119" s="1" t="s">
        <v>50</v>
      </c>
      <c r="J119" s="1">
        <v>10</v>
      </c>
      <c r="K119" s="1">
        <v>80</v>
      </c>
      <c r="L119" s="1">
        <v>0.1</v>
      </c>
      <c r="M119" s="1" t="s">
        <v>93</v>
      </c>
      <c r="N119" s="1" t="s">
        <v>32</v>
      </c>
    </row>
    <row r="120" spans="1:14" x14ac:dyDescent="0.25">
      <c r="A120" s="1" t="s">
        <v>301</v>
      </c>
      <c r="B120" s="3" t="s">
        <v>302</v>
      </c>
      <c r="C120" s="1" t="s">
        <v>303</v>
      </c>
      <c r="D120" s="1" t="s">
        <v>19</v>
      </c>
      <c r="E120" s="1">
        <v>22</v>
      </c>
      <c r="F120" s="1" t="s">
        <v>20</v>
      </c>
      <c r="G120" s="1" t="s">
        <v>21</v>
      </c>
      <c r="H120" s="1" t="s">
        <v>68</v>
      </c>
      <c r="I120" s="1" t="s">
        <v>69</v>
      </c>
      <c r="J120" s="1">
        <v>6</v>
      </c>
      <c r="K120" s="1">
        <v>2</v>
      </c>
      <c r="L120" s="1">
        <v>0.1</v>
      </c>
      <c r="M120" s="1" t="s">
        <v>93</v>
      </c>
      <c r="N120" s="1" t="s">
        <v>51</v>
      </c>
    </row>
    <row r="121" spans="1:14" x14ac:dyDescent="0.25">
      <c r="A121" s="1" t="s">
        <v>304</v>
      </c>
      <c r="B121" s="3" t="s">
        <v>174</v>
      </c>
      <c r="C121" s="1" t="s">
        <v>117</v>
      </c>
      <c r="D121" s="1" t="s">
        <v>19</v>
      </c>
      <c r="E121" s="1">
        <v>41</v>
      </c>
      <c r="F121" s="1" t="s">
        <v>88</v>
      </c>
      <c r="G121" s="1" t="s">
        <v>89</v>
      </c>
      <c r="H121" s="1" t="s">
        <v>62</v>
      </c>
      <c r="I121" s="1" t="s">
        <v>23</v>
      </c>
      <c r="J121" s="1">
        <v>9</v>
      </c>
      <c r="K121" s="1">
        <v>15</v>
      </c>
      <c r="L121" s="1">
        <v>0</v>
      </c>
      <c r="M121" s="1" t="s">
        <v>45</v>
      </c>
      <c r="N121" s="1" t="s">
        <v>32</v>
      </c>
    </row>
    <row r="122" spans="1:14" x14ac:dyDescent="0.25">
      <c r="A122" s="1" t="s">
        <v>305</v>
      </c>
      <c r="B122" s="3" t="s">
        <v>64</v>
      </c>
      <c r="C122" s="1" t="s">
        <v>48</v>
      </c>
      <c r="D122" s="1" t="s">
        <v>19</v>
      </c>
      <c r="E122" s="1">
        <v>43</v>
      </c>
      <c r="F122" s="1" t="s">
        <v>37</v>
      </c>
      <c r="G122" s="1" t="s">
        <v>38</v>
      </c>
      <c r="H122" s="1" t="s">
        <v>62</v>
      </c>
      <c r="I122" s="1" t="s">
        <v>23</v>
      </c>
      <c r="J122" s="1">
        <v>10</v>
      </c>
      <c r="K122" s="1">
        <v>15</v>
      </c>
      <c r="L122" s="1">
        <v>0.1</v>
      </c>
      <c r="M122" s="1" t="s">
        <v>93</v>
      </c>
      <c r="N122" s="1" t="s">
        <v>25</v>
      </c>
    </row>
    <row r="123" spans="1:14" x14ac:dyDescent="0.25">
      <c r="A123" s="1" t="s">
        <v>306</v>
      </c>
      <c r="B123" s="3" t="s">
        <v>307</v>
      </c>
      <c r="C123" s="1" t="s">
        <v>108</v>
      </c>
      <c r="D123" s="1" t="s">
        <v>19</v>
      </c>
      <c r="E123" s="1">
        <v>57</v>
      </c>
      <c r="F123" s="1" t="s">
        <v>37</v>
      </c>
      <c r="G123" s="1" t="s">
        <v>38</v>
      </c>
      <c r="H123" s="1" t="s">
        <v>49</v>
      </c>
      <c r="I123" s="1" t="s">
        <v>50</v>
      </c>
      <c r="J123" s="1">
        <v>7</v>
      </c>
      <c r="K123" s="1">
        <v>120</v>
      </c>
      <c r="L123" s="1">
        <v>0.1</v>
      </c>
      <c r="M123" s="1" t="s">
        <v>31</v>
      </c>
      <c r="N123" s="1" t="s">
        <v>51</v>
      </c>
    </row>
    <row r="124" spans="1:14" x14ac:dyDescent="0.25">
      <c r="A124" s="1" t="s">
        <v>308</v>
      </c>
      <c r="B124" s="3" t="s">
        <v>284</v>
      </c>
      <c r="C124" s="1" t="s">
        <v>96</v>
      </c>
      <c r="D124" s="1" t="s">
        <v>36</v>
      </c>
      <c r="E124" s="1">
        <v>31</v>
      </c>
      <c r="F124" s="1" t="s">
        <v>29</v>
      </c>
      <c r="G124" s="1" t="s">
        <v>30</v>
      </c>
      <c r="H124" s="1" t="s">
        <v>118</v>
      </c>
      <c r="I124" s="1" t="s">
        <v>23</v>
      </c>
      <c r="J124" s="1">
        <v>9</v>
      </c>
      <c r="K124" s="1">
        <v>180</v>
      </c>
      <c r="L124" s="1">
        <v>0.05</v>
      </c>
      <c r="M124" s="1" t="s">
        <v>31</v>
      </c>
      <c r="N124" s="1" t="s">
        <v>32</v>
      </c>
    </row>
    <row r="125" spans="1:14" x14ac:dyDescent="0.25">
      <c r="A125" s="1" t="s">
        <v>309</v>
      </c>
      <c r="B125" s="3" t="s">
        <v>310</v>
      </c>
      <c r="C125" s="1" t="s">
        <v>131</v>
      </c>
      <c r="D125" s="1" t="s">
        <v>36</v>
      </c>
      <c r="E125" s="1">
        <v>55</v>
      </c>
      <c r="F125" s="1" t="s">
        <v>29</v>
      </c>
      <c r="G125" s="1" t="s">
        <v>30</v>
      </c>
      <c r="H125" s="1" t="s">
        <v>62</v>
      </c>
      <c r="I125" s="1" t="s">
        <v>23</v>
      </c>
      <c r="J125" s="1">
        <v>2</v>
      </c>
      <c r="K125" s="1">
        <v>15</v>
      </c>
      <c r="L125" s="1">
        <v>0</v>
      </c>
      <c r="M125" s="1" t="s">
        <v>39</v>
      </c>
      <c r="N125" s="1" t="s">
        <v>25</v>
      </c>
    </row>
    <row r="126" spans="1:14" x14ac:dyDescent="0.25">
      <c r="A126" s="1" t="s">
        <v>311</v>
      </c>
      <c r="B126" s="3" t="s">
        <v>312</v>
      </c>
      <c r="C126" s="1" t="s">
        <v>165</v>
      </c>
      <c r="D126" s="1" t="s">
        <v>36</v>
      </c>
      <c r="E126" s="1">
        <v>27</v>
      </c>
      <c r="F126" s="1" t="s">
        <v>37</v>
      </c>
      <c r="G126" s="1" t="s">
        <v>38</v>
      </c>
      <c r="H126" s="1" t="s">
        <v>49</v>
      </c>
      <c r="I126" s="1" t="s">
        <v>50</v>
      </c>
      <c r="J126" s="1">
        <v>6</v>
      </c>
      <c r="K126" s="1">
        <v>120</v>
      </c>
      <c r="L126" s="1">
        <v>0.15</v>
      </c>
      <c r="M126" s="1" t="s">
        <v>39</v>
      </c>
      <c r="N126" s="1" t="s">
        <v>32</v>
      </c>
    </row>
    <row r="127" spans="1:14" x14ac:dyDescent="0.25">
      <c r="A127" s="1" t="s">
        <v>313</v>
      </c>
      <c r="B127" s="3" t="s">
        <v>314</v>
      </c>
      <c r="C127" s="1" t="s">
        <v>266</v>
      </c>
      <c r="D127" s="1" t="s">
        <v>19</v>
      </c>
      <c r="E127" s="1">
        <v>35</v>
      </c>
      <c r="F127" s="1" t="s">
        <v>43</v>
      </c>
      <c r="G127" s="1" t="s">
        <v>44</v>
      </c>
      <c r="H127" s="1" t="s">
        <v>22</v>
      </c>
      <c r="I127" s="1" t="s">
        <v>23</v>
      </c>
      <c r="J127" s="1">
        <v>9</v>
      </c>
      <c r="K127" s="1">
        <v>850</v>
      </c>
      <c r="L127" s="1">
        <v>0.05</v>
      </c>
      <c r="M127" s="1" t="s">
        <v>39</v>
      </c>
      <c r="N127" s="1" t="s">
        <v>32</v>
      </c>
    </row>
    <row r="128" spans="1:14" x14ac:dyDescent="0.25">
      <c r="A128" s="1" t="s">
        <v>315</v>
      </c>
      <c r="B128" s="3" t="s">
        <v>316</v>
      </c>
      <c r="C128" s="1" t="s">
        <v>72</v>
      </c>
      <c r="D128" s="1" t="s">
        <v>36</v>
      </c>
      <c r="E128" s="1">
        <v>52</v>
      </c>
      <c r="F128" s="1" t="s">
        <v>20</v>
      </c>
      <c r="G128" s="1" t="s">
        <v>21</v>
      </c>
      <c r="H128" s="1" t="s">
        <v>118</v>
      </c>
      <c r="I128" s="1" t="s">
        <v>23</v>
      </c>
      <c r="J128" s="1">
        <v>5</v>
      </c>
      <c r="K128" s="1">
        <v>180</v>
      </c>
      <c r="L128" s="1">
        <v>0.1</v>
      </c>
      <c r="M128" s="1" t="s">
        <v>93</v>
      </c>
      <c r="N128" s="1" t="s">
        <v>25</v>
      </c>
    </row>
    <row r="129" spans="1:14" x14ac:dyDescent="0.25">
      <c r="A129" s="1" t="s">
        <v>317</v>
      </c>
      <c r="B129" s="3" t="s">
        <v>122</v>
      </c>
      <c r="C129" s="1" t="s">
        <v>318</v>
      </c>
      <c r="D129" s="1" t="s">
        <v>36</v>
      </c>
      <c r="E129" s="1">
        <v>25</v>
      </c>
      <c r="F129" s="1" t="s">
        <v>20</v>
      </c>
      <c r="G129" s="1" t="s">
        <v>21</v>
      </c>
      <c r="H129" s="1" t="s">
        <v>73</v>
      </c>
      <c r="I129" s="1" t="s">
        <v>69</v>
      </c>
      <c r="J129" s="1">
        <v>4</v>
      </c>
      <c r="K129" s="1">
        <v>5</v>
      </c>
      <c r="L129" s="1">
        <v>0.1</v>
      </c>
      <c r="M129" s="1" t="s">
        <v>58</v>
      </c>
      <c r="N129" s="1" t="s">
        <v>51</v>
      </c>
    </row>
    <row r="130" spans="1:14" x14ac:dyDescent="0.25">
      <c r="A130" s="1" t="s">
        <v>319</v>
      </c>
      <c r="B130" s="3" t="s">
        <v>133</v>
      </c>
      <c r="C130" s="1" t="s">
        <v>35</v>
      </c>
      <c r="D130" s="1" t="s">
        <v>19</v>
      </c>
      <c r="E130" s="1">
        <v>23</v>
      </c>
      <c r="F130" s="1" t="s">
        <v>37</v>
      </c>
      <c r="G130" s="1" t="s">
        <v>38</v>
      </c>
      <c r="H130" s="1" t="s">
        <v>49</v>
      </c>
      <c r="I130" s="1" t="s">
        <v>50</v>
      </c>
      <c r="J130" s="1">
        <v>10</v>
      </c>
      <c r="K130" s="1">
        <v>120</v>
      </c>
      <c r="L130" s="1">
        <v>0.15</v>
      </c>
      <c r="M130" s="1" t="s">
        <v>31</v>
      </c>
      <c r="N130" s="1" t="s">
        <v>32</v>
      </c>
    </row>
    <row r="131" spans="1:14" x14ac:dyDescent="0.25">
      <c r="A131" s="1" t="s">
        <v>320</v>
      </c>
      <c r="B131" s="3" t="s">
        <v>321</v>
      </c>
      <c r="C131" s="1" t="s">
        <v>205</v>
      </c>
      <c r="D131" s="1" t="s">
        <v>19</v>
      </c>
      <c r="E131" s="1">
        <v>48</v>
      </c>
      <c r="F131" s="1" t="s">
        <v>20</v>
      </c>
      <c r="G131" s="1" t="s">
        <v>21</v>
      </c>
      <c r="H131" s="1" t="s">
        <v>68</v>
      </c>
      <c r="I131" s="1" t="s">
        <v>69</v>
      </c>
      <c r="J131" s="1">
        <v>2</v>
      </c>
      <c r="K131" s="1">
        <v>2</v>
      </c>
      <c r="L131" s="1">
        <v>0.1</v>
      </c>
      <c r="M131" s="1" t="s">
        <v>24</v>
      </c>
      <c r="N131" s="1" t="s">
        <v>32</v>
      </c>
    </row>
    <row r="132" spans="1:14" x14ac:dyDescent="0.25">
      <c r="A132" s="1" t="s">
        <v>322</v>
      </c>
      <c r="B132" s="3" t="s">
        <v>323</v>
      </c>
      <c r="C132" s="1" t="s">
        <v>82</v>
      </c>
      <c r="D132" s="1" t="s">
        <v>19</v>
      </c>
      <c r="E132" s="1">
        <v>43</v>
      </c>
      <c r="F132" s="1" t="s">
        <v>20</v>
      </c>
      <c r="G132" s="1" t="s">
        <v>21</v>
      </c>
      <c r="H132" s="1" t="s">
        <v>118</v>
      </c>
      <c r="I132" s="1" t="s">
        <v>23</v>
      </c>
      <c r="J132" s="1">
        <v>10</v>
      </c>
      <c r="K132" s="1">
        <v>180</v>
      </c>
      <c r="L132" s="1">
        <v>0.05</v>
      </c>
      <c r="M132" s="1" t="s">
        <v>31</v>
      </c>
      <c r="N132" s="1" t="s">
        <v>55</v>
      </c>
    </row>
    <row r="133" spans="1:14" x14ac:dyDescent="0.25">
      <c r="A133" s="1" t="s">
        <v>324</v>
      </c>
      <c r="B133" s="3" t="s">
        <v>199</v>
      </c>
      <c r="C133" s="1" t="s">
        <v>233</v>
      </c>
      <c r="D133" s="1" t="s">
        <v>19</v>
      </c>
      <c r="E133" s="1">
        <v>31</v>
      </c>
      <c r="F133" s="1" t="s">
        <v>29</v>
      </c>
      <c r="G133" s="1" t="s">
        <v>30</v>
      </c>
      <c r="H133" s="1" t="s">
        <v>62</v>
      </c>
      <c r="I133" s="1" t="s">
        <v>23</v>
      </c>
      <c r="J133" s="1">
        <v>4</v>
      </c>
      <c r="K133" s="1">
        <v>15</v>
      </c>
      <c r="L133" s="1">
        <v>0.15</v>
      </c>
      <c r="M133" s="1" t="s">
        <v>39</v>
      </c>
      <c r="N133" s="1" t="s">
        <v>55</v>
      </c>
    </row>
    <row r="134" spans="1:14" x14ac:dyDescent="0.25">
      <c r="A134" s="1" t="s">
        <v>325</v>
      </c>
      <c r="B134" s="3" t="s">
        <v>197</v>
      </c>
      <c r="C134" s="1" t="s">
        <v>61</v>
      </c>
      <c r="D134" s="1" t="s">
        <v>36</v>
      </c>
      <c r="E134" s="1">
        <v>31</v>
      </c>
      <c r="F134" s="1" t="s">
        <v>20</v>
      </c>
      <c r="G134" s="1" t="s">
        <v>21</v>
      </c>
      <c r="H134" s="1" t="s">
        <v>49</v>
      </c>
      <c r="I134" s="1" t="s">
        <v>50</v>
      </c>
      <c r="J134" s="1">
        <v>7</v>
      </c>
      <c r="K134" s="1">
        <v>120</v>
      </c>
      <c r="L134" s="1">
        <v>0.1</v>
      </c>
      <c r="M134" s="1" t="s">
        <v>58</v>
      </c>
      <c r="N134" s="1" t="s">
        <v>25</v>
      </c>
    </row>
    <row r="135" spans="1:14" x14ac:dyDescent="0.25">
      <c r="A135" s="1" t="s">
        <v>326</v>
      </c>
      <c r="B135" s="3" t="s">
        <v>291</v>
      </c>
      <c r="C135" s="1" t="s">
        <v>82</v>
      </c>
      <c r="D135" s="1" t="s">
        <v>36</v>
      </c>
      <c r="E135" s="1">
        <v>28</v>
      </c>
      <c r="F135" s="1" t="s">
        <v>29</v>
      </c>
      <c r="G135" s="1" t="s">
        <v>30</v>
      </c>
      <c r="H135" s="1" t="s">
        <v>73</v>
      </c>
      <c r="I135" s="1" t="s">
        <v>69</v>
      </c>
      <c r="J135" s="1">
        <v>2</v>
      </c>
      <c r="K135" s="1">
        <v>5</v>
      </c>
      <c r="L135" s="1">
        <v>0</v>
      </c>
      <c r="M135" s="1" t="s">
        <v>39</v>
      </c>
      <c r="N135" s="1" t="s">
        <v>32</v>
      </c>
    </row>
    <row r="136" spans="1:14" x14ac:dyDescent="0.25">
      <c r="A136" s="1" t="s">
        <v>327</v>
      </c>
      <c r="B136" s="3" t="s">
        <v>328</v>
      </c>
      <c r="C136" s="1" t="s">
        <v>223</v>
      </c>
      <c r="D136" s="1" t="s">
        <v>19</v>
      </c>
      <c r="E136" s="1">
        <v>32</v>
      </c>
      <c r="F136" s="1" t="s">
        <v>20</v>
      </c>
      <c r="G136" s="1" t="s">
        <v>21</v>
      </c>
      <c r="H136" s="1" t="s">
        <v>49</v>
      </c>
      <c r="I136" s="1" t="s">
        <v>50</v>
      </c>
      <c r="J136" s="1">
        <v>9</v>
      </c>
      <c r="K136" s="1">
        <v>120</v>
      </c>
      <c r="L136" s="1">
        <v>0.1</v>
      </c>
      <c r="M136" s="1" t="s">
        <v>39</v>
      </c>
      <c r="N136" s="1" t="s">
        <v>32</v>
      </c>
    </row>
    <row r="137" spans="1:14" x14ac:dyDescent="0.25">
      <c r="A137" s="1" t="s">
        <v>329</v>
      </c>
      <c r="B137" s="3" t="s">
        <v>286</v>
      </c>
      <c r="C137" s="1" t="s">
        <v>145</v>
      </c>
      <c r="D137" s="1" t="s">
        <v>36</v>
      </c>
      <c r="E137" s="1">
        <v>23</v>
      </c>
      <c r="F137" s="1" t="s">
        <v>29</v>
      </c>
      <c r="G137" s="1" t="s">
        <v>30</v>
      </c>
      <c r="H137" s="1" t="s">
        <v>22</v>
      </c>
      <c r="I137" s="1" t="s">
        <v>23</v>
      </c>
      <c r="J137" s="1">
        <v>9</v>
      </c>
      <c r="K137" s="1">
        <v>850</v>
      </c>
      <c r="L137" s="1">
        <v>0.05</v>
      </c>
      <c r="M137" s="1" t="s">
        <v>24</v>
      </c>
      <c r="N137" s="1" t="s">
        <v>51</v>
      </c>
    </row>
    <row r="138" spans="1:14" x14ac:dyDescent="0.25">
      <c r="A138" s="1" t="s">
        <v>330</v>
      </c>
      <c r="B138" s="3" t="s">
        <v>331</v>
      </c>
      <c r="C138" s="1" t="s">
        <v>82</v>
      </c>
      <c r="D138" s="1" t="s">
        <v>19</v>
      </c>
      <c r="E138" s="1">
        <v>54</v>
      </c>
      <c r="F138" s="1" t="s">
        <v>43</v>
      </c>
      <c r="G138" s="1" t="s">
        <v>44</v>
      </c>
      <c r="H138" s="1" t="s">
        <v>118</v>
      </c>
      <c r="I138" s="1" t="s">
        <v>23</v>
      </c>
      <c r="J138" s="1">
        <v>10</v>
      </c>
      <c r="K138" s="1">
        <v>180</v>
      </c>
      <c r="L138" s="1">
        <v>0.05</v>
      </c>
      <c r="M138" s="1" t="s">
        <v>45</v>
      </c>
      <c r="N138" s="1" t="s">
        <v>25</v>
      </c>
    </row>
    <row r="139" spans="1:14" x14ac:dyDescent="0.25">
      <c r="A139" s="1" t="s">
        <v>332</v>
      </c>
      <c r="B139" s="3" t="s">
        <v>307</v>
      </c>
      <c r="C139" s="1" t="s">
        <v>126</v>
      </c>
      <c r="D139" s="1" t="s">
        <v>36</v>
      </c>
      <c r="E139" s="1">
        <v>26</v>
      </c>
      <c r="F139" s="1" t="s">
        <v>29</v>
      </c>
      <c r="G139" s="1" t="s">
        <v>30</v>
      </c>
      <c r="H139" s="1" t="s">
        <v>118</v>
      </c>
      <c r="I139" s="1" t="s">
        <v>23</v>
      </c>
      <c r="J139" s="1">
        <v>9</v>
      </c>
      <c r="K139" s="1">
        <v>180</v>
      </c>
      <c r="L139" s="1">
        <v>0.05</v>
      </c>
      <c r="M139" s="1" t="s">
        <v>31</v>
      </c>
      <c r="N139" s="1" t="s">
        <v>32</v>
      </c>
    </row>
    <row r="140" spans="1:14" x14ac:dyDescent="0.25">
      <c r="A140" s="1" t="s">
        <v>333</v>
      </c>
      <c r="B140" s="3" t="s">
        <v>334</v>
      </c>
      <c r="C140" s="1" t="s">
        <v>294</v>
      </c>
      <c r="D140" s="1" t="s">
        <v>36</v>
      </c>
      <c r="E140" s="1">
        <v>35</v>
      </c>
      <c r="F140" s="1" t="s">
        <v>20</v>
      </c>
      <c r="G140" s="1" t="s">
        <v>21</v>
      </c>
      <c r="H140" s="1" t="s">
        <v>79</v>
      </c>
      <c r="I140" s="1" t="s">
        <v>23</v>
      </c>
      <c r="J140" s="1">
        <v>6</v>
      </c>
      <c r="K140" s="1">
        <v>500</v>
      </c>
      <c r="L140" s="1">
        <v>0.05</v>
      </c>
      <c r="M140" s="1" t="s">
        <v>24</v>
      </c>
      <c r="N140" s="1" t="s">
        <v>25</v>
      </c>
    </row>
    <row r="141" spans="1:14" x14ac:dyDescent="0.25">
      <c r="A141" s="1" t="s">
        <v>335</v>
      </c>
      <c r="B141" s="3" t="s">
        <v>336</v>
      </c>
      <c r="C141" s="1" t="s">
        <v>114</v>
      </c>
      <c r="D141" s="1" t="s">
        <v>19</v>
      </c>
      <c r="E141" s="1">
        <v>57</v>
      </c>
      <c r="F141" s="1" t="s">
        <v>37</v>
      </c>
      <c r="G141" s="1" t="s">
        <v>38</v>
      </c>
      <c r="H141" s="1" t="s">
        <v>22</v>
      </c>
      <c r="I141" s="1" t="s">
        <v>23</v>
      </c>
      <c r="J141" s="1">
        <v>5</v>
      </c>
      <c r="K141" s="1">
        <v>850</v>
      </c>
      <c r="L141" s="1">
        <v>0.1</v>
      </c>
      <c r="M141" s="1" t="s">
        <v>93</v>
      </c>
      <c r="N141" s="1" t="s">
        <v>25</v>
      </c>
    </row>
    <row r="142" spans="1:14" x14ac:dyDescent="0.25">
      <c r="A142" s="1" t="s">
        <v>337</v>
      </c>
      <c r="B142" s="3" t="s">
        <v>235</v>
      </c>
      <c r="C142" s="1" t="s">
        <v>65</v>
      </c>
      <c r="D142" s="1" t="s">
        <v>36</v>
      </c>
      <c r="E142" s="1">
        <v>21</v>
      </c>
      <c r="F142" s="1" t="s">
        <v>88</v>
      </c>
      <c r="G142" s="1" t="s">
        <v>89</v>
      </c>
      <c r="H142" s="1" t="s">
        <v>79</v>
      </c>
      <c r="I142" s="1" t="s">
        <v>23</v>
      </c>
      <c r="J142" s="1">
        <v>10</v>
      </c>
      <c r="K142" s="1">
        <v>500</v>
      </c>
      <c r="L142" s="1">
        <v>0.15</v>
      </c>
      <c r="M142" s="1" t="s">
        <v>58</v>
      </c>
      <c r="N142" s="1" t="s">
        <v>32</v>
      </c>
    </row>
    <row r="143" spans="1:14" x14ac:dyDescent="0.25">
      <c r="A143" s="1" t="s">
        <v>338</v>
      </c>
      <c r="B143" s="3" t="s">
        <v>339</v>
      </c>
      <c r="C143" s="1" t="s">
        <v>149</v>
      </c>
      <c r="D143" s="1" t="s">
        <v>19</v>
      </c>
      <c r="E143" s="1">
        <v>60</v>
      </c>
      <c r="F143" s="1" t="s">
        <v>20</v>
      </c>
      <c r="G143" s="1" t="s">
        <v>21</v>
      </c>
      <c r="H143" s="1" t="s">
        <v>68</v>
      </c>
      <c r="I143" s="1" t="s">
        <v>69</v>
      </c>
      <c r="J143" s="1">
        <v>3</v>
      </c>
      <c r="K143" s="1">
        <v>2</v>
      </c>
      <c r="L143" s="1">
        <v>0.15</v>
      </c>
      <c r="M143" s="1" t="s">
        <v>45</v>
      </c>
      <c r="N143" s="1" t="s">
        <v>32</v>
      </c>
    </row>
    <row r="144" spans="1:14" x14ac:dyDescent="0.25">
      <c r="A144" s="1" t="s">
        <v>340</v>
      </c>
      <c r="B144" s="3" t="s">
        <v>341</v>
      </c>
      <c r="C144" s="1" t="s">
        <v>240</v>
      </c>
      <c r="D144" s="1" t="s">
        <v>19</v>
      </c>
      <c r="E144" s="1">
        <v>21</v>
      </c>
      <c r="F144" s="1" t="s">
        <v>29</v>
      </c>
      <c r="G144" s="1" t="s">
        <v>30</v>
      </c>
      <c r="H144" s="1" t="s">
        <v>49</v>
      </c>
      <c r="I144" s="1" t="s">
        <v>50</v>
      </c>
      <c r="J144" s="1">
        <v>9</v>
      </c>
      <c r="K144" s="1">
        <v>120</v>
      </c>
      <c r="L144" s="1">
        <v>0.15</v>
      </c>
      <c r="M144" s="1" t="s">
        <v>93</v>
      </c>
      <c r="N144" s="1" t="s">
        <v>51</v>
      </c>
    </row>
    <row r="145" spans="1:14" x14ac:dyDescent="0.25">
      <c r="A145" s="1" t="s">
        <v>342</v>
      </c>
      <c r="B145" s="3" t="s">
        <v>77</v>
      </c>
      <c r="C145" s="1" t="s">
        <v>266</v>
      </c>
      <c r="D145" s="1" t="s">
        <v>19</v>
      </c>
      <c r="E145" s="1">
        <v>23</v>
      </c>
      <c r="F145" s="1" t="s">
        <v>29</v>
      </c>
      <c r="G145" s="1" t="s">
        <v>30</v>
      </c>
      <c r="H145" s="1" t="s">
        <v>79</v>
      </c>
      <c r="I145" s="1" t="s">
        <v>23</v>
      </c>
      <c r="J145" s="1">
        <v>7</v>
      </c>
      <c r="K145" s="1">
        <v>500</v>
      </c>
      <c r="L145" s="1">
        <v>0</v>
      </c>
      <c r="M145" s="1" t="s">
        <v>58</v>
      </c>
      <c r="N145" s="1" t="s">
        <v>51</v>
      </c>
    </row>
    <row r="146" spans="1:14" x14ac:dyDescent="0.25">
      <c r="A146" s="1" t="s">
        <v>343</v>
      </c>
      <c r="B146" s="3" t="s">
        <v>344</v>
      </c>
      <c r="C146" s="1" t="s">
        <v>243</v>
      </c>
      <c r="D146" s="1" t="s">
        <v>36</v>
      </c>
      <c r="E146" s="1">
        <v>31</v>
      </c>
      <c r="F146" s="1" t="s">
        <v>88</v>
      </c>
      <c r="G146" s="1" t="s">
        <v>89</v>
      </c>
      <c r="H146" s="1" t="s">
        <v>118</v>
      </c>
      <c r="I146" s="1" t="s">
        <v>23</v>
      </c>
      <c r="J146" s="1">
        <v>6</v>
      </c>
      <c r="K146" s="1">
        <v>180</v>
      </c>
      <c r="L146" s="1">
        <v>0.05</v>
      </c>
      <c r="M146" s="1" t="s">
        <v>24</v>
      </c>
      <c r="N146" s="1" t="s">
        <v>25</v>
      </c>
    </row>
    <row r="147" spans="1:14" x14ac:dyDescent="0.25">
      <c r="A147" s="1" t="s">
        <v>345</v>
      </c>
      <c r="B147" s="3" t="s">
        <v>346</v>
      </c>
      <c r="C147" s="1" t="s">
        <v>87</v>
      </c>
      <c r="D147" s="1" t="s">
        <v>19</v>
      </c>
      <c r="E147" s="1">
        <v>52</v>
      </c>
      <c r="F147" s="1" t="s">
        <v>29</v>
      </c>
      <c r="G147" s="1" t="s">
        <v>30</v>
      </c>
      <c r="H147" s="1" t="s">
        <v>22</v>
      </c>
      <c r="I147" s="1" t="s">
        <v>23</v>
      </c>
      <c r="J147" s="1">
        <v>5</v>
      </c>
      <c r="K147" s="1">
        <v>850</v>
      </c>
      <c r="L147" s="1">
        <v>0</v>
      </c>
      <c r="M147" s="1" t="s">
        <v>39</v>
      </c>
      <c r="N147" s="1" t="s">
        <v>32</v>
      </c>
    </row>
    <row r="148" spans="1:14" x14ac:dyDescent="0.25">
      <c r="A148" s="1" t="s">
        <v>347</v>
      </c>
      <c r="B148" s="3" t="s">
        <v>101</v>
      </c>
      <c r="C148" s="1" t="s">
        <v>92</v>
      </c>
      <c r="D148" s="1" t="s">
        <v>36</v>
      </c>
      <c r="E148" s="1">
        <v>24</v>
      </c>
      <c r="F148" s="1" t="s">
        <v>29</v>
      </c>
      <c r="G148" s="1" t="s">
        <v>30</v>
      </c>
      <c r="H148" s="1" t="s">
        <v>73</v>
      </c>
      <c r="I148" s="1" t="s">
        <v>69</v>
      </c>
      <c r="J148" s="1">
        <v>4</v>
      </c>
      <c r="K148" s="1">
        <v>5</v>
      </c>
      <c r="L148" s="1">
        <v>0.05</v>
      </c>
      <c r="M148" s="1" t="s">
        <v>58</v>
      </c>
      <c r="N148" s="1" t="s">
        <v>51</v>
      </c>
    </row>
    <row r="149" spans="1:14" x14ac:dyDescent="0.25">
      <c r="A149" s="1" t="s">
        <v>348</v>
      </c>
      <c r="B149" s="3" t="s">
        <v>349</v>
      </c>
      <c r="C149" s="1" t="s">
        <v>350</v>
      </c>
      <c r="D149" s="1" t="s">
        <v>19</v>
      </c>
      <c r="E149" s="1">
        <v>33</v>
      </c>
      <c r="F149" s="1" t="s">
        <v>37</v>
      </c>
      <c r="G149" s="1" t="s">
        <v>38</v>
      </c>
      <c r="H149" s="1" t="s">
        <v>109</v>
      </c>
      <c r="I149" s="1" t="s">
        <v>50</v>
      </c>
      <c r="J149" s="1">
        <v>8</v>
      </c>
      <c r="K149" s="1">
        <v>80</v>
      </c>
      <c r="L149" s="1">
        <v>0.05</v>
      </c>
      <c r="M149" s="1" t="s">
        <v>39</v>
      </c>
      <c r="N149" s="1" t="s">
        <v>55</v>
      </c>
    </row>
    <row r="150" spans="1:14" x14ac:dyDescent="0.25">
      <c r="A150" s="1" t="s">
        <v>351</v>
      </c>
      <c r="B150" s="3" t="s">
        <v>230</v>
      </c>
      <c r="C150" s="1" t="s">
        <v>318</v>
      </c>
      <c r="D150" s="1" t="s">
        <v>19</v>
      </c>
      <c r="E150" s="1">
        <v>34</v>
      </c>
      <c r="F150" s="1" t="s">
        <v>37</v>
      </c>
      <c r="G150" s="1" t="s">
        <v>38</v>
      </c>
      <c r="H150" s="1" t="s">
        <v>49</v>
      </c>
      <c r="I150" s="1" t="s">
        <v>50</v>
      </c>
      <c r="J150" s="1">
        <v>2</v>
      </c>
      <c r="K150" s="1">
        <v>120</v>
      </c>
      <c r="L150" s="1">
        <v>0.05</v>
      </c>
      <c r="M150" s="1" t="s">
        <v>93</v>
      </c>
      <c r="N150" s="1" t="s">
        <v>25</v>
      </c>
    </row>
    <row r="151" spans="1:14" x14ac:dyDescent="0.25">
      <c r="A151" s="1" t="s">
        <v>352</v>
      </c>
      <c r="B151" s="3" t="s">
        <v>167</v>
      </c>
      <c r="C151" s="1" t="s">
        <v>96</v>
      </c>
      <c r="D151" s="1" t="s">
        <v>36</v>
      </c>
      <c r="E151" s="1">
        <v>43</v>
      </c>
      <c r="F151" s="1" t="s">
        <v>88</v>
      </c>
      <c r="G151" s="1" t="s">
        <v>89</v>
      </c>
      <c r="H151" s="1" t="s">
        <v>73</v>
      </c>
      <c r="I151" s="1" t="s">
        <v>69</v>
      </c>
      <c r="J151" s="1">
        <v>7</v>
      </c>
      <c r="K151" s="1">
        <v>5</v>
      </c>
      <c r="L151" s="1">
        <v>0.15</v>
      </c>
      <c r="M151" s="1" t="s">
        <v>58</v>
      </c>
      <c r="N151" s="1" t="s">
        <v>55</v>
      </c>
    </row>
    <row r="152" spans="1:14" x14ac:dyDescent="0.25">
      <c r="A152" s="1" t="s">
        <v>353</v>
      </c>
      <c r="B152" s="3" t="s">
        <v>354</v>
      </c>
      <c r="C152" s="1" t="s">
        <v>145</v>
      </c>
      <c r="D152" s="1" t="s">
        <v>19</v>
      </c>
      <c r="E152" s="1">
        <v>20</v>
      </c>
      <c r="F152" s="1" t="s">
        <v>88</v>
      </c>
      <c r="G152" s="1" t="s">
        <v>89</v>
      </c>
      <c r="H152" s="1" t="s">
        <v>22</v>
      </c>
      <c r="I152" s="1" t="s">
        <v>23</v>
      </c>
      <c r="J152" s="1">
        <v>2</v>
      </c>
      <c r="K152" s="1">
        <v>850</v>
      </c>
      <c r="L152" s="1">
        <v>0.1</v>
      </c>
      <c r="M152" s="1" t="s">
        <v>58</v>
      </c>
      <c r="N152" s="1" t="s">
        <v>51</v>
      </c>
    </row>
    <row r="153" spans="1:14" x14ac:dyDescent="0.25">
      <c r="A153" s="1" t="s">
        <v>355</v>
      </c>
      <c r="B153" s="3" t="s">
        <v>356</v>
      </c>
      <c r="C153" s="1" t="s">
        <v>35</v>
      </c>
      <c r="D153" s="1" t="s">
        <v>36</v>
      </c>
      <c r="E153" s="1">
        <v>34</v>
      </c>
      <c r="F153" s="1" t="s">
        <v>43</v>
      </c>
      <c r="G153" s="1" t="s">
        <v>44</v>
      </c>
      <c r="H153" s="1" t="s">
        <v>109</v>
      </c>
      <c r="I153" s="1" t="s">
        <v>50</v>
      </c>
      <c r="J153" s="1">
        <v>2</v>
      </c>
      <c r="K153" s="1">
        <v>80</v>
      </c>
      <c r="L153" s="1">
        <v>0.05</v>
      </c>
      <c r="M153" s="1" t="s">
        <v>93</v>
      </c>
      <c r="N153" s="1" t="s">
        <v>32</v>
      </c>
    </row>
    <row r="154" spans="1:14" x14ac:dyDescent="0.25">
      <c r="A154" s="1" t="s">
        <v>357</v>
      </c>
      <c r="B154" s="3" t="s">
        <v>219</v>
      </c>
      <c r="C154" s="1" t="s">
        <v>180</v>
      </c>
      <c r="D154" s="1" t="s">
        <v>36</v>
      </c>
      <c r="E154" s="1">
        <v>20</v>
      </c>
      <c r="F154" s="1" t="s">
        <v>37</v>
      </c>
      <c r="G154" s="1" t="s">
        <v>38</v>
      </c>
      <c r="H154" s="1" t="s">
        <v>109</v>
      </c>
      <c r="I154" s="1" t="s">
        <v>50</v>
      </c>
      <c r="J154" s="1">
        <v>1</v>
      </c>
      <c r="K154" s="1">
        <v>80</v>
      </c>
      <c r="L154" s="1">
        <v>0</v>
      </c>
      <c r="M154" s="1" t="s">
        <v>58</v>
      </c>
      <c r="N154" s="1" t="s">
        <v>55</v>
      </c>
    </row>
    <row r="155" spans="1:14" x14ac:dyDescent="0.25">
      <c r="A155" s="1" t="s">
        <v>358</v>
      </c>
      <c r="B155" s="3" t="s">
        <v>142</v>
      </c>
      <c r="C155" s="1" t="s">
        <v>82</v>
      </c>
      <c r="D155" s="1" t="s">
        <v>36</v>
      </c>
      <c r="E155" s="1">
        <v>33</v>
      </c>
      <c r="F155" s="1" t="s">
        <v>29</v>
      </c>
      <c r="G155" s="1" t="s">
        <v>30</v>
      </c>
      <c r="H155" s="1" t="s">
        <v>109</v>
      </c>
      <c r="I155" s="1" t="s">
        <v>50</v>
      </c>
      <c r="J155" s="1">
        <v>8</v>
      </c>
      <c r="K155" s="1">
        <v>80</v>
      </c>
      <c r="L155" s="1">
        <v>0.05</v>
      </c>
      <c r="M155" s="1" t="s">
        <v>93</v>
      </c>
      <c r="N155" s="1" t="s">
        <v>55</v>
      </c>
    </row>
    <row r="156" spans="1:14" x14ac:dyDescent="0.25">
      <c r="A156" s="1" t="s">
        <v>359</v>
      </c>
      <c r="B156" s="3" t="s">
        <v>341</v>
      </c>
      <c r="C156" s="1" t="s">
        <v>303</v>
      </c>
      <c r="D156" s="1" t="s">
        <v>19</v>
      </c>
      <c r="E156" s="1">
        <v>60</v>
      </c>
      <c r="F156" s="1" t="s">
        <v>43</v>
      </c>
      <c r="G156" s="1" t="s">
        <v>44</v>
      </c>
      <c r="H156" s="1" t="s">
        <v>109</v>
      </c>
      <c r="I156" s="1" t="s">
        <v>50</v>
      </c>
      <c r="J156" s="1">
        <v>10</v>
      </c>
      <c r="K156" s="1">
        <v>80</v>
      </c>
      <c r="L156" s="1">
        <v>0</v>
      </c>
      <c r="M156" s="1" t="s">
        <v>31</v>
      </c>
      <c r="N156" s="1" t="s">
        <v>32</v>
      </c>
    </row>
    <row r="157" spans="1:14" x14ac:dyDescent="0.25">
      <c r="A157" s="1" t="s">
        <v>360</v>
      </c>
      <c r="B157" s="3" t="s">
        <v>135</v>
      </c>
      <c r="C157" s="1" t="s">
        <v>136</v>
      </c>
      <c r="D157" s="1" t="s">
        <v>36</v>
      </c>
      <c r="E157" s="1">
        <v>42</v>
      </c>
      <c r="F157" s="1" t="s">
        <v>29</v>
      </c>
      <c r="G157" s="1" t="s">
        <v>30</v>
      </c>
      <c r="H157" s="1" t="s">
        <v>22</v>
      </c>
      <c r="I157" s="1" t="s">
        <v>23</v>
      </c>
      <c r="J157" s="1">
        <v>9</v>
      </c>
      <c r="K157" s="1">
        <v>850</v>
      </c>
      <c r="L157" s="1">
        <v>0.05</v>
      </c>
      <c r="M157" s="1" t="s">
        <v>39</v>
      </c>
      <c r="N157" s="1" t="s">
        <v>51</v>
      </c>
    </row>
    <row r="158" spans="1:14" x14ac:dyDescent="0.25">
      <c r="A158" s="1" t="s">
        <v>361</v>
      </c>
      <c r="B158" s="3" t="s">
        <v>284</v>
      </c>
      <c r="C158" s="1" t="s">
        <v>256</v>
      </c>
      <c r="D158" s="1" t="s">
        <v>19</v>
      </c>
      <c r="E158" s="1">
        <v>42</v>
      </c>
      <c r="F158" s="1" t="s">
        <v>29</v>
      </c>
      <c r="G158" s="1" t="s">
        <v>30</v>
      </c>
      <c r="H158" s="1" t="s">
        <v>62</v>
      </c>
      <c r="I158" s="1" t="s">
        <v>23</v>
      </c>
      <c r="J158" s="1">
        <v>1</v>
      </c>
      <c r="K158" s="1">
        <v>15</v>
      </c>
      <c r="L158" s="1">
        <v>0</v>
      </c>
      <c r="M158" s="1" t="s">
        <v>93</v>
      </c>
      <c r="N158" s="1" t="s">
        <v>51</v>
      </c>
    </row>
    <row r="159" spans="1:14" x14ac:dyDescent="0.25">
      <c r="A159" s="1" t="s">
        <v>362</v>
      </c>
      <c r="B159" s="3" t="s">
        <v>363</v>
      </c>
      <c r="C159" s="1" t="s">
        <v>318</v>
      </c>
      <c r="D159" s="1" t="s">
        <v>19</v>
      </c>
      <c r="E159" s="1">
        <v>54</v>
      </c>
      <c r="F159" s="1" t="s">
        <v>88</v>
      </c>
      <c r="G159" s="1" t="s">
        <v>89</v>
      </c>
      <c r="H159" s="1" t="s">
        <v>73</v>
      </c>
      <c r="I159" s="1" t="s">
        <v>69</v>
      </c>
      <c r="J159" s="1">
        <v>3</v>
      </c>
      <c r="K159" s="1">
        <v>5</v>
      </c>
      <c r="L159" s="1">
        <v>0.05</v>
      </c>
      <c r="M159" s="1" t="s">
        <v>24</v>
      </c>
      <c r="N159" s="1" t="s">
        <v>32</v>
      </c>
    </row>
    <row r="160" spans="1:14" x14ac:dyDescent="0.25">
      <c r="A160" s="1" t="s">
        <v>364</v>
      </c>
      <c r="B160" s="3" t="s">
        <v>365</v>
      </c>
      <c r="C160" s="1" t="s">
        <v>96</v>
      </c>
      <c r="D160" s="1" t="s">
        <v>19</v>
      </c>
      <c r="E160" s="1">
        <v>46</v>
      </c>
      <c r="F160" s="1" t="s">
        <v>29</v>
      </c>
      <c r="G160" s="1" t="s">
        <v>30</v>
      </c>
      <c r="H160" s="1" t="s">
        <v>62</v>
      </c>
      <c r="I160" s="1" t="s">
        <v>23</v>
      </c>
      <c r="J160" s="1">
        <v>6</v>
      </c>
      <c r="K160" s="1">
        <v>15</v>
      </c>
      <c r="L160" s="1">
        <v>0.05</v>
      </c>
      <c r="M160" s="1" t="s">
        <v>45</v>
      </c>
      <c r="N160" s="1" t="s">
        <v>32</v>
      </c>
    </row>
    <row r="161" spans="1:14" x14ac:dyDescent="0.25">
      <c r="A161" s="1" t="s">
        <v>366</v>
      </c>
      <c r="B161" s="3" t="s">
        <v>255</v>
      </c>
      <c r="C161" s="1" t="s">
        <v>105</v>
      </c>
      <c r="D161" s="1" t="s">
        <v>36</v>
      </c>
      <c r="E161" s="1">
        <v>47</v>
      </c>
      <c r="F161" s="1" t="s">
        <v>88</v>
      </c>
      <c r="G161" s="1" t="s">
        <v>89</v>
      </c>
      <c r="H161" s="1" t="s">
        <v>68</v>
      </c>
      <c r="I161" s="1" t="s">
        <v>69</v>
      </c>
      <c r="J161" s="1">
        <v>6</v>
      </c>
      <c r="K161" s="1">
        <v>2</v>
      </c>
      <c r="L161" s="1">
        <v>0.15</v>
      </c>
      <c r="M161" s="1" t="s">
        <v>58</v>
      </c>
      <c r="N161" s="1" t="s">
        <v>32</v>
      </c>
    </row>
    <row r="162" spans="1:14" x14ac:dyDescent="0.25">
      <c r="A162" s="1" t="s">
        <v>367</v>
      </c>
      <c r="B162" s="3" t="s">
        <v>368</v>
      </c>
      <c r="C162" s="1" t="s">
        <v>233</v>
      </c>
      <c r="D162" s="1" t="s">
        <v>36</v>
      </c>
      <c r="E162" s="1">
        <v>26</v>
      </c>
      <c r="F162" s="1" t="s">
        <v>43</v>
      </c>
      <c r="G162" s="1" t="s">
        <v>44</v>
      </c>
      <c r="H162" s="1" t="s">
        <v>73</v>
      </c>
      <c r="I162" s="1" t="s">
        <v>69</v>
      </c>
      <c r="J162" s="1">
        <v>10</v>
      </c>
      <c r="K162" s="1">
        <v>5</v>
      </c>
      <c r="L162" s="1">
        <v>0</v>
      </c>
      <c r="M162" s="1" t="s">
        <v>45</v>
      </c>
      <c r="N162" s="1" t="s">
        <v>55</v>
      </c>
    </row>
    <row r="163" spans="1:14" x14ac:dyDescent="0.25">
      <c r="A163" s="1" t="s">
        <v>369</v>
      </c>
      <c r="B163" s="3" t="s">
        <v>174</v>
      </c>
      <c r="C163" s="1" t="s">
        <v>294</v>
      </c>
      <c r="D163" s="1" t="s">
        <v>19</v>
      </c>
      <c r="E163" s="1">
        <v>32</v>
      </c>
      <c r="F163" s="1" t="s">
        <v>43</v>
      </c>
      <c r="G163" s="1" t="s">
        <v>44</v>
      </c>
      <c r="H163" s="1" t="s">
        <v>62</v>
      </c>
      <c r="I163" s="1" t="s">
        <v>23</v>
      </c>
      <c r="J163" s="1">
        <v>4</v>
      </c>
      <c r="K163" s="1">
        <v>15</v>
      </c>
      <c r="L163" s="1">
        <v>0</v>
      </c>
      <c r="M163" s="1" t="s">
        <v>24</v>
      </c>
      <c r="N163" s="1" t="s">
        <v>55</v>
      </c>
    </row>
    <row r="164" spans="1:14" x14ac:dyDescent="0.25">
      <c r="A164" s="1" t="s">
        <v>370</v>
      </c>
      <c r="B164" s="3" t="s">
        <v>371</v>
      </c>
      <c r="C164" s="1" t="s">
        <v>223</v>
      </c>
      <c r="D164" s="1" t="s">
        <v>19</v>
      </c>
      <c r="E164" s="1">
        <v>18</v>
      </c>
      <c r="F164" s="1" t="s">
        <v>37</v>
      </c>
      <c r="G164" s="1" t="s">
        <v>38</v>
      </c>
      <c r="H164" s="1" t="s">
        <v>73</v>
      </c>
      <c r="I164" s="1" t="s">
        <v>69</v>
      </c>
      <c r="J164" s="1">
        <v>2</v>
      </c>
      <c r="K164" s="1">
        <v>5</v>
      </c>
      <c r="L164" s="1">
        <v>0.1</v>
      </c>
      <c r="M164" s="1" t="s">
        <v>93</v>
      </c>
      <c r="N164" s="1" t="s">
        <v>51</v>
      </c>
    </row>
    <row r="165" spans="1:14" x14ac:dyDescent="0.25">
      <c r="A165" s="1" t="s">
        <v>372</v>
      </c>
      <c r="B165" s="3" t="s">
        <v>373</v>
      </c>
      <c r="C165" s="1" t="s">
        <v>61</v>
      </c>
      <c r="D165" s="1" t="s">
        <v>36</v>
      </c>
      <c r="E165" s="1">
        <v>33</v>
      </c>
      <c r="F165" s="1" t="s">
        <v>88</v>
      </c>
      <c r="G165" s="1" t="s">
        <v>89</v>
      </c>
      <c r="H165" s="1" t="s">
        <v>49</v>
      </c>
      <c r="I165" s="1" t="s">
        <v>50</v>
      </c>
      <c r="J165" s="1">
        <v>9</v>
      </c>
      <c r="K165" s="1">
        <v>120</v>
      </c>
      <c r="L165" s="1">
        <v>0</v>
      </c>
      <c r="M165" s="1" t="s">
        <v>31</v>
      </c>
      <c r="N165" s="1" t="s">
        <v>25</v>
      </c>
    </row>
    <row r="166" spans="1:14" x14ac:dyDescent="0.25">
      <c r="A166" s="1" t="s">
        <v>374</v>
      </c>
      <c r="B166" s="3" t="s">
        <v>375</v>
      </c>
      <c r="C166" s="1" t="s">
        <v>266</v>
      </c>
      <c r="D166" s="1" t="s">
        <v>19</v>
      </c>
      <c r="E166" s="1">
        <v>52</v>
      </c>
      <c r="F166" s="1" t="s">
        <v>20</v>
      </c>
      <c r="G166" s="1" t="s">
        <v>21</v>
      </c>
      <c r="H166" s="1" t="s">
        <v>118</v>
      </c>
      <c r="I166" s="1" t="s">
        <v>23</v>
      </c>
      <c r="J166" s="1">
        <v>3</v>
      </c>
      <c r="K166" s="1">
        <v>180</v>
      </c>
      <c r="L166" s="1">
        <v>0.05</v>
      </c>
      <c r="M166" s="1" t="s">
        <v>58</v>
      </c>
      <c r="N166" s="1" t="s">
        <v>55</v>
      </c>
    </row>
    <row r="167" spans="1:14" x14ac:dyDescent="0.25">
      <c r="A167" s="1" t="s">
        <v>376</v>
      </c>
      <c r="B167" s="3" t="s">
        <v>377</v>
      </c>
      <c r="C167" s="1" t="s">
        <v>180</v>
      </c>
      <c r="D167" s="1" t="s">
        <v>36</v>
      </c>
      <c r="E167" s="1">
        <v>28</v>
      </c>
      <c r="F167" s="1" t="s">
        <v>29</v>
      </c>
      <c r="G167" s="1" t="s">
        <v>30</v>
      </c>
      <c r="H167" s="1" t="s">
        <v>22</v>
      </c>
      <c r="I167" s="1" t="s">
        <v>23</v>
      </c>
      <c r="J167" s="1">
        <v>10</v>
      </c>
      <c r="K167" s="1">
        <v>850</v>
      </c>
      <c r="L167" s="1">
        <v>0.05</v>
      </c>
      <c r="M167" s="1" t="s">
        <v>24</v>
      </c>
      <c r="N167" s="1" t="s">
        <v>55</v>
      </c>
    </row>
    <row r="168" spans="1:14" x14ac:dyDescent="0.25">
      <c r="A168" s="1" t="s">
        <v>378</v>
      </c>
      <c r="B168" s="3" t="s">
        <v>379</v>
      </c>
      <c r="C168" s="1" t="s">
        <v>180</v>
      </c>
      <c r="D168" s="1" t="s">
        <v>19</v>
      </c>
      <c r="E168" s="1">
        <v>54</v>
      </c>
      <c r="F168" s="1" t="s">
        <v>29</v>
      </c>
      <c r="G168" s="1" t="s">
        <v>30</v>
      </c>
      <c r="H168" s="1" t="s">
        <v>22</v>
      </c>
      <c r="I168" s="1" t="s">
        <v>23</v>
      </c>
      <c r="J168" s="1">
        <v>8</v>
      </c>
      <c r="K168" s="1">
        <v>850</v>
      </c>
      <c r="L168" s="1">
        <v>0</v>
      </c>
      <c r="M168" s="1" t="s">
        <v>31</v>
      </c>
      <c r="N168" s="1" t="s">
        <v>25</v>
      </c>
    </row>
    <row r="169" spans="1:14" x14ac:dyDescent="0.25">
      <c r="A169" s="1" t="s">
        <v>380</v>
      </c>
      <c r="B169" s="3" t="s">
        <v>207</v>
      </c>
      <c r="C169" s="1" t="s">
        <v>18</v>
      </c>
      <c r="D169" s="1" t="s">
        <v>36</v>
      </c>
      <c r="E169" s="1">
        <v>24</v>
      </c>
      <c r="F169" s="1" t="s">
        <v>29</v>
      </c>
      <c r="G169" s="1" t="s">
        <v>30</v>
      </c>
      <c r="H169" s="1" t="s">
        <v>68</v>
      </c>
      <c r="I169" s="1" t="s">
        <v>69</v>
      </c>
      <c r="J169" s="1">
        <v>2</v>
      </c>
      <c r="K169" s="1">
        <v>2</v>
      </c>
      <c r="L169" s="1">
        <v>0</v>
      </c>
      <c r="M169" s="1" t="s">
        <v>93</v>
      </c>
      <c r="N169" s="1" t="s">
        <v>51</v>
      </c>
    </row>
    <row r="170" spans="1:14" x14ac:dyDescent="0.25">
      <c r="A170" s="1" t="s">
        <v>381</v>
      </c>
      <c r="B170" s="3" t="s">
        <v>77</v>
      </c>
      <c r="C170" s="1" t="s">
        <v>108</v>
      </c>
      <c r="D170" s="1" t="s">
        <v>19</v>
      </c>
      <c r="E170" s="1">
        <v>31</v>
      </c>
      <c r="F170" s="1" t="s">
        <v>88</v>
      </c>
      <c r="G170" s="1" t="s">
        <v>89</v>
      </c>
      <c r="H170" s="1" t="s">
        <v>109</v>
      </c>
      <c r="I170" s="1" t="s">
        <v>50</v>
      </c>
      <c r="J170" s="1">
        <v>2</v>
      </c>
      <c r="K170" s="1">
        <v>80</v>
      </c>
      <c r="L170" s="1">
        <v>0.05</v>
      </c>
      <c r="M170" s="1" t="s">
        <v>39</v>
      </c>
      <c r="N170" s="1" t="s">
        <v>25</v>
      </c>
    </row>
    <row r="171" spans="1:14" x14ac:dyDescent="0.25">
      <c r="A171" s="1" t="s">
        <v>382</v>
      </c>
      <c r="B171" s="3" t="s">
        <v>383</v>
      </c>
      <c r="C171" s="1" t="s">
        <v>126</v>
      </c>
      <c r="D171" s="1" t="s">
        <v>19</v>
      </c>
      <c r="E171" s="1">
        <v>45</v>
      </c>
      <c r="F171" s="1" t="s">
        <v>88</v>
      </c>
      <c r="G171" s="1" t="s">
        <v>89</v>
      </c>
      <c r="H171" s="1" t="s">
        <v>79</v>
      </c>
      <c r="I171" s="1" t="s">
        <v>23</v>
      </c>
      <c r="J171" s="1">
        <v>10</v>
      </c>
      <c r="K171" s="1">
        <v>500</v>
      </c>
      <c r="L171" s="1">
        <v>0.1</v>
      </c>
      <c r="M171" s="1" t="s">
        <v>39</v>
      </c>
      <c r="N171" s="1" t="s">
        <v>51</v>
      </c>
    </row>
    <row r="172" spans="1:14" x14ac:dyDescent="0.25">
      <c r="A172" s="1" t="s">
        <v>384</v>
      </c>
      <c r="B172" s="3" t="s">
        <v>385</v>
      </c>
      <c r="C172" s="1" t="s">
        <v>149</v>
      </c>
      <c r="D172" s="1" t="s">
        <v>19</v>
      </c>
      <c r="E172" s="1">
        <v>38</v>
      </c>
      <c r="F172" s="1" t="s">
        <v>88</v>
      </c>
      <c r="G172" s="1" t="s">
        <v>89</v>
      </c>
      <c r="H172" s="1" t="s">
        <v>79</v>
      </c>
      <c r="I172" s="1" t="s">
        <v>23</v>
      </c>
      <c r="J172" s="1">
        <v>7</v>
      </c>
      <c r="K172" s="1">
        <v>500</v>
      </c>
      <c r="L172" s="1">
        <v>0.15</v>
      </c>
      <c r="M172" s="1" t="s">
        <v>24</v>
      </c>
      <c r="N172" s="1" t="s">
        <v>32</v>
      </c>
    </row>
    <row r="173" spans="1:14" x14ac:dyDescent="0.25">
      <c r="A173" s="1" t="s">
        <v>386</v>
      </c>
      <c r="B173" s="3" t="s">
        <v>260</v>
      </c>
      <c r="C173" s="1" t="s">
        <v>258</v>
      </c>
      <c r="D173" s="1" t="s">
        <v>19</v>
      </c>
      <c r="E173" s="1">
        <v>58</v>
      </c>
      <c r="F173" s="1" t="s">
        <v>88</v>
      </c>
      <c r="G173" s="1" t="s">
        <v>89</v>
      </c>
      <c r="H173" s="1" t="s">
        <v>73</v>
      </c>
      <c r="I173" s="1" t="s">
        <v>69</v>
      </c>
      <c r="J173" s="1">
        <v>7</v>
      </c>
      <c r="K173" s="1">
        <v>5</v>
      </c>
      <c r="L173" s="1">
        <v>0.1</v>
      </c>
      <c r="M173" s="1" t="s">
        <v>39</v>
      </c>
      <c r="N173" s="1" t="s">
        <v>51</v>
      </c>
    </row>
    <row r="174" spans="1:14" x14ac:dyDescent="0.25">
      <c r="A174" s="1" t="s">
        <v>387</v>
      </c>
      <c r="B174" s="3" t="s">
        <v>185</v>
      </c>
      <c r="C174" s="1" t="s">
        <v>114</v>
      </c>
      <c r="D174" s="1" t="s">
        <v>36</v>
      </c>
      <c r="E174" s="1">
        <v>34</v>
      </c>
      <c r="F174" s="1" t="s">
        <v>43</v>
      </c>
      <c r="G174" s="1" t="s">
        <v>44</v>
      </c>
      <c r="H174" s="1" t="s">
        <v>109</v>
      </c>
      <c r="I174" s="1" t="s">
        <v>50</v>
      </c>
      <c r="J174" s="1">
        <v>8</v>
      </c>
      <c r="K174" s="1">
        <v>80</v>
      </c>
      <c r="L174" s="1">
        <v>0</v>
      </c>
      <c r="M174" s="1" t="s">
        <v>39</v>
      </c>
      <c r="N174" s="1" t="s">
        <v>51</v>
      </c>
    </row>
    <row r="175" spans="1:14" x14ac:dyDescent="0.25">
      <c r="A175" s="1" t="s">
        <v>388</v>
      </c>
      <c r="B175" s="3" t="s">
        <v>323</v>
      </c>
      <c r="C175" s="1" t="s">
        <v>72</v>
      </c>
      <c r="D175" s="1" t="s">
        <v>36</v>
      </c>
      <c r="E175" s="1">
        <v>39</v>
      </c>
      <c r="F175" s="1" t="s">
        <v>37</v>
      </c>
      <c r="G175" s="1" t="s">
        <v>38</v>
      </c>
      <c r="H175" s="1" t="s">
        <v>79</v>
      </c>
      <c r="I175" s="1" t="s">
        <v>23</v>
      </c>
      <c r="J175" s="1">
        <v>7</v>
      </c>
      <c r="K175" s="1">
        <v>500</v>
      </c>
      <c r="L175" s="1">
        <v>0</v>
      </c>
      <c r="M175" s="1" t="s">
        <v>58</v>
      </c>
      <c r="N175" s="1" t="s">
        <v>32</v>
      </c>
    </row>
    <row r="176" spans="1:14" x14ac:dyDescent="0.25">
      <c r="A176" s="1" t="s">
        <v>389</v>
      </c>
      <c r="B176" s="3" t="s">
        <v>390</v>
      </c>
      <c r="C176" s="1" t="s">
        <v>114</v>
      </c>
      <c r="D176" s="1" t="s">
        <v>36</v>
      </c>
      <c r="E176" s="1">
        <v>53</v>
      </c>
      <c r="F176" s="1" t="s">
        <v>43</v>
      </c>
      <c r="G176" s="1" t="s">
        <v>44</v>
      </c>
      <c r="H176" s="1" t="s">
        <v>49</v>
      </c>
      <c r="I176" s="1" t="s">
        <v>50</v>
      </c>
      <c r="J176" s="1">
        <v>2</v>
      </c>
      <c r="K176" s="1">
        <v>120</v>
      </c>
      <c r="L176" s="1">
        <v>0.15</v>
      </c>
      <c r="M176" s="1" t="s">
        <v>39</v>
      </c>
      <c r="N176" s="1" t="s">
        <v>32</v>
      </c>
    </row>
    <row r="177" spans="1:14" x14ac:dyDescent="0.25">
      <c r="A177" s="1" t="s">
        <v>391</v>
      </c>
      <c r="B177" s="3" t="s">
        <v>312</v>
      </c>
      <c r="C177" s="1" t="s">
        <v>78</v>
      </c>
      <c r="D177" s="1" t="s">
        <v>19</v>
      </c>
      <c r="E177" s="1">
        <v>40</v>
      </c>
      <c r="F177" s="1" t="s">
        <v>43</v>
      </c>
      <c r="G177" s="1" t="s">
        <v>44</v>
      </c>
      <c r="H177" s="1" t="s">
        <v>22</v>
      </c>
      <c r="I177" s="1" t="s">
        <v>23</v>
      </c>
      <c r="J177" s="1">
        <v>7</v>
      </c>
      <c r="K177" s="1">
        <v>850</v>
      </c>
      <c r="L177" s="1">
        <v>0.1</v>
      </c>
      <c r="M177" s="1" t="s">
        <v>45</v>
      </c>
      <c r="N177" s="1" t="s">
        <v>55</v>
      </c>
    </row>
    <row r="178" spans="1:14" x14ac:dyDescent="0.25">
      <c r="A178" s="1" t="s">
        <v>392</v>
      </c>
      <c r="B178" s="3" t="s">
        <v>393</v>
      </c>
      <c r="C178" s="1" t="s">
        <v>303</v>
      </c>
      <c r="D178" s="1" t="s">
        <v>19</v>
      </c>
      <c r="E178" s="1">
        <v>33</v>
      </c>
      <c r="F178" s="1" t="s">
        <v>29</v>
      </c>
      <c r="G178" s="1" t="s">
        <v>30</v>
      </c>
      <c r="H178" s="1" t="s">
        <v>79</v>
      </c>
      <c r="I178" s="1" t="s">
        <v>23</v>
      </c>
      <c r="J178" s="1">
        <v>4</v>
      </c>
      <c r="K178" s="1">
        <v>500</v>
      </c>
      <c r="L178" s="1">
        <v>0.1</v>
      </c>
      <c r="M178" s="1" t="s">
        <v>31</v>
      </c>
      <c r="N178" s="1" t="s">
        <v>32</v>
      </c>
    </row>
    <row r="179" spans="1:14" x14ac:dyDescent="0.25">
      <c r="A179" s="1" t="s">
        <v>394</v>
      </c>
      <c r="B179" s="3" t="s">
        <v>77</v>
      </c>
      <c r="C179" s="1" t="s">
        <v>72</v>
      </c>
      <c r="D179" s="1" t="s">
        <v>19</v>
      </c>
      <c r="E179" s="1">
        <v>45</v>
      </c>
      <c r="F179" s="1" t="s">
        <v>43</v>
      </c>
      <c r="G179" s="1" t="s">
        <v>44</v>
      </c>
      <c r="H179" s="1" t="s">
        <v>22</v>
      </c>
      <c r="I179" s="1" t="s">
        <v>23</v>
      </c>
      <c r="J179" s="1">
        <v>1</v>
      </c>
      <c r="K179" s="1">
        <v>850</v>
      </c>
      <c r="L179" s="1">
        <v>0.05</v>
      </c>
      <c r="M179" s="1" t="s">
        <v>45</v>
      </c>
      <c r="N179" s="1" t="s">
        <v>55</v>
      </c>
    </row>
    <row r="180" spans="1:14" x14ac:dyDescent="0.25">
      <c r="A180" s="1" t="s">
        <v>395</v>
      </c>
      <c r="B180" s="3" t="s">
        <v>334</v>
      </c>
      <c r="C180" s="1" t="s">
        <v>102</v>
      </c>
      <c r="D180" s="1" t="s">
        <v>19</v>
      </c>
      <c r="E180" s="1">
        <v>21</v>
      </c>
      <c r="F180" s="1" t="s">
        <v>88</v>
      </c>
      <c r="G180" s="1" t="s">
        <v>89</v>
      </c>
      <c r="H180" s="1" t="s">
        <v>109</v>
      </c>
      <c r="I180" s="1" t="s">
        <v>50</v>
      </c>
      <c r="J180" s="1">
        <v>4</v>
      </c>
      <c r="K180" s="1">
        <v>80</v>
      </c>
      <c r="L180" s="1">
        <v>0.05</v>
      </c>
      <c r="M180" s="1" t="s">
        <v>45</v>
      </c>
      <c r="N180" s="1" t="s">
        <v>32</v>
      </c>
    </row>
    <row r="181" spans="1:14" x14ac:dyDescent="0.25">
      <c r="A181" s="1" t="s">
        <v>396</v>
      </c>
      <c r="B181" s="3" t="s">
        <v>84</v>
      </c>
      <c r="C181" s="1" t="s">
        <v>99</v>
      </c>
      <c r="D181" s="1" t="s">
        <v>19</v>
      </c>
      <c r="E181" s="1">
        <v>42</v>
      </c>
      <c r="F181" s="1" t="s">
        <v>88</v>
      </c>
      <c r="G181" s="1" t="s">
        <v>89</v>
      </c>
      <c r="H181" s="1" t="s">
        <v>118</v>
      </c>
      <c r="I181" s="1" t="s">
        <v>23</v>
      </c>
      <c r="J181" s="1">
        <v>4</v>
      </c>
      <c r="K181" s="1">
        <v>180</v>
      </c>
      <c r="L181" s="1">
        <v>0.15</v>
      </c>
      <c r="M181" s="1" t="s">
        <v>31</v>
      </c>
      <c r="N181" s="1" t="s">
        <v>55</v>
      </c>
    </row>
    <row r="182" spans="1:14" x14ac:dyDescent="0.25">
      <c r="A182" s="1" t="s">
        <v>397</v>
      </c>
      <c r="B182" s="3" t="s">
        <v>398</v>
      </c>
      <c r="C182" s="1" t="s">
        <v>35</v>
      </c>
      <c r="D182" s="1" t="s">
        <v>36</v>
      </c>
      <c r="E182" s="1">
        <v>34</v>
      </c>
      <c r="F182" s="1" t="s">
        <v>43</v>
      </c>
      <c r="G182" s="1" t="s">
        <v>44</v>
      </c>
      <c r="H182" s="1" t="s">
        <v>68</v>
      </c>
      <c r="I182" s="1" t="s">
        <v>69</v>
      </c>
      <c r="J182" s="1">
        <v>2</v>
      </c>
      <c r="K182" s="1">
        <v>2</v>
      </c>
      <c r="L182" s="1">
        <v>0.05</v>
      </c>
      <c r="M182" s="1" t="s">
        <v>58</v>
      </c>
      <c r="N182" s="1" t="s">
        <v>25</v>
      </c>
    </row>
    <row r="183" spans="1:14" x14ac:dyDescent="0.25">
      <c r="A183" s="1" t="s">
        <v>399</v>
      </c>
      <c r="B183" s="3" t="s">
        <v>41</v>
      </c>
      <c r="C183" s="1" t="s">
        <v>99</v>
      </c>
      <c r="D183" s="1" t="s">
        <v>19</v>
      </c>
      <c r="E183" s="1">
        <v>24</v>
      </c>
      <c r="F183" s="1" t="s">
        <v>20</v>
      </c>
      <c r="G183" s="1" t="s">
        <v>21</v>
      </c>
      <c r="H183" s="1" t="s">
        <v>49</v>
      </c>
      <c r="I183" s="1" t="s">
        <v>50</v>
      </c>
      <c r="J183" s="1">
        <v>9</v>
      </c>
      <c r="K183" s="1">
        <v>120</v>
      </c>
      <c r="L183" s="1">
        <v>0.05</v>
      </c>
      <c r="M183" s="1" t="s">
        <v>93</v>
      </c>
      <c r="N183" s="1" t="s">
        <v>32</v>
      </c>
    </row>
    <row r="184" spans="1:14" x14ac:dyDescent="0.25">
      <c r="A184" s="1" t="s">
        <v>400</v>
      </c>
      <c r="B184" s="3" t="s">
        <v>401</v>
      </c>
      <c r="C184" s="1" t="s">
        <v>233</v>
      </c>
      <c r="D184" s="1" t="s">
        <v>36</v>
      </c>
      <c r="E184" s="1">
        <v>47</v>
      </c>
      <c r="F184" s="1" t="s">
        <v>88</v>
      </c>
      <c r="G184" s="1" t="s">
        <v>89</v>
      </c>
      <c r="H184" s="1" t="s">
        <v>73</v>
      </c>
      <c r="I184" s="1" t="s">
        <v>69</v>
      </c>
      <c r="J184" s="1">
        <v>4</v>
      </c>
      <c r="K184" s="1">
        <v>5</v>
      </c>
      <c r="L184" s="1">
        <v>0.1</v>
      </c>
      <c r="M184" s="1" t="s">
        <v>45</v>
      </c>
      <c r="N184" s="1" t="s">
        <v>25</v>
      </c>
    </row>
    <row r="185" spans="1:14" x14ac:dyDescent="0.25">
      <c r="A185" s="1" t="s">
        <v>402</v>
      </c>
      <c r="B185" s="3" t="s">
        <v>403</v>
      </c>
      <c r="C185" s="1" t="s">
        <v>18</v>
      </c>
      <c r="D185" s="1" t="s">
        <v>19</v>
      </c>
      <c r="E185" s="1">
        <v>56</v>
      </c>
      <c r="F185" s="1" t="s">
        <v>37</v>
      </c>
      <c r="G185" s="1" t="s">
        <v>38</v>
      </c>
      <c r="H185" s="1" t="s">
        <v>22</v>
      </c>
      <c r="I185" s="1" t="s">
        <v>23</v>
      </c>
      <c r="J185" s="1">
        <v>4</v>
      </c>
      <c r="K185" s="1">
        <v>850</v>
      </c>
      <c r="L185" s="1">
        <v>0.05</v>
      </c>
      <c r="M185" s="1" t="s">
        <v>45</v>
      </c>
      <c r="N185" s="1" t="s">
        <v>51</v>
      </c>
    </row>
    <row r="186" spans="1:14" x14ac:dyDescent="0.25">
      <c r="A186" s="1" t="s">
        <v>404</v>
      </c>
      <c r="B186" s="3" t="s">
        <v>405</v>
      </c>
      <c r="C186" s="1" t="s">
        <v>289</v>
      </c>
      <c r="D186" s="1" t="s">
        <v>19</v>
      </c>
      <c r="E186" s="1">
        <v>33</v>
      </c>
      <c r="F186" s="1" t="s">
        <v>43</v>
      </c>
      <c r="G186" s="1" t="s">
        <v>44</v>
      </c>
      <c r="H186" s="1" t="s">
        <v>109</v>
      </c>
      <c r="I186" s="1" t="s">
        <v>50</v>
      </c>
      <c r="J186" s="1">
        <v>1</v>
      </c>
      <c r="K186" s="1">
        <v>80</v>
      </c>
      <c r="L186" s="1">
        <v>0.1</v>
      </c>
      <c r="M186" s="1" t="s">
        <v>93</v>
      </c>
      <c r="N186" s="1" t="s">
        <v>51</v>
      </c>
    </row>
    <row r="187" spans="1:14" x14ac:dyDescent="0.25">
      <c r="A187" s="1" t="s">
        <v>406</v>
      </c>
      <c r="B187" s="3" t="s">
        <v>77</v>
      </c>
      <c r="C187" s="1" t="s">
        <v>123</v>
      </c>
      <c r="D187" s="1" t="s">
        <v>36</v>
      </c>
      <c r="E187" s="1">
        <v>53</v>
      </c>
      <c r="F187" s="1" t="s">
        <v>29</v>
      </c>
      <c r="G187" s="1" t="s">
        <v>30</v>
      </c>
      <c r="H187" s="1" t="s">
        <v>68</v>
      </c>
      <c r="I187" s="1" t="s">
        <v>69</v>
      </c>
      <c r="J187" s="1">
        <v>6</v>
      </c>
      <c r="K187" s="1">
        <v>2</v>
      </c>
      <c r="L187" s="1">
        <v>0.15</v>
      </c>
      <c r="M187" s="1" t="s">
        <v>39</v>
      </c>
      <c r="N187" s="1" t="s">
        <v>25</v>
      </c>
    </row>
    <row r="188" spans="1:14" x14ac:dyDescent="0.25">
      <c r="A188" s="1" t="s">
        <v>407</v>
      </c>
      <c r="B188" s="3" t="s">
        <v>253</v>
      </c>
      <c r="C188" s="1" t="s">
        <v>152</v>
      </c>
      <c r="D188" s="1" t="s">
        <v>19</v>
      </c>
      <c r="E188" s="1">
        <v>52</v>
      </c>
      <c r="F188" s="1" t="s">
        <v>37</v>
      </c>
      <c r="G188" s="1" t="s">
        <v>38</v>
      </c>
      <c r="H188" s="1" t="s">
        <v>109</v>
      </c>
      <c r="I188" s="1" t="s">
        <v>50</v>
      </c>
      <c r="J188" s="1">
        <v>7</v>
      </c>
      <c r="K188" s="1">
        <v>80</v>
      </c>
      <c r="L188" s="1">
        <v>0.05</v>
      </c>
      <c r="M188" s="1" t="s">
        <v>93</v>
      </c>
      <c r="N188" s="1" t="s">
        <v>32</v>
      </c>
    </row>
    <row r="189" spans="1:14" x14ac:dyDescent="0.25">
      <c r="A189" s="1" t="s">
        <v>408</v>
      </c>
      <c r="B189" s="3" t="s">
        <v>187</v>
      </c>
      <c r="C189" s="1" t="s">
        <v>182</v>
      </c>
      <c r="D189" s="1" t="s">
        <v>19</v>
      </c>
      <c r="E189" s="1">
        <v>45</v>
      </c>
      <c r="F189" s="1" t="s">
        <v>20</v>
      </c>
      <c r="G189" s="1" t="s">
        <v>21</v>
      </c>
      <c r="H189" s="1" t="s">
        <v>109</v>
      </c>
      <c r="I189" s="1" t="s">
        <v>50</v>
      </c>
      <c r="J189" s="1">
        <v>10</v>
      </c>
      <c r="K189" s="1">
        <v>80</v>
      </c>
      <c r="L189" s="1">
        <v>0.15</v>
      </c>
      <c r="M189" s="1" t="s">
        <v>93</v>
      </c>
      <c r="N189" s="1" t="s">
        <v>32</v>
      </c>
    </row>
    <row r="190" spans="1:14" x14ac:dyDescent="0.25">
      <c r="A190" s="1" t="s">
        <v>409</v>
      </c>
      <c r="B190" s="3" t="s">
        <v>375</v>
      </c>
      <c r="C190" s="1" t="s">
        <v>155</v>
      </c>
      <c r="D190" s="1" t="s">
        <v>36</v>
      </c>
      <c r="E190" s="1">
        <v>28</v>
      </c>
      <c r="F190" s="1" t="s">
        <v>88</v>
      </c>
      <c r="G190" s="1" t="s">
        <v>89</v>
      </c>
      <c r="H190" s="1" t="s">
        <v>109</v>
      </c>
      <c r="I190" s="1" t="s">
        <v>50</v>
      </c>
      <c r="J190" s="1">
        <v>8</v>
      </c>
      <c r="K190" s="1">
        <v>80</v>
      </c>
      <c r="L190" s="1">
        <v>0.05</v>
      </c>
      <c r="M190" s="1" t="s">
        <v>93</v>
      </c>
      <c r="N190" s="1" t="s">
        <v>32</v>
      </c>
    </row>
    <row r="191" spans="1:14" x14ac:dyDescent="0.25">
      <c r="A191" s="1" t="s">
        <v>410</v>
      </c>
      <c r="B191" s="3" t="s">
        <v>411</v>
      </c>
      <c r="C191" s="1" t="s">
        <v>223</v>
      </c>
      <c r="D191" s="1" t="s">
        <v>36</v>
      </c>
      <c r="E191" s="1">
        <v>59</v>
      </c>
      <c r="F191" s="1" t="s">
        <v>20</v>
      </c>
      <c r="G191" s="1" t="s">
        <v>21</v>
      </c>
      <c r="H191" s="1" t="s">
        <v>68</v>
      </c>
      <c r="I191" s="1" t="s">
        <v>69</v>
      </c>
      <c r="J191" s="1">
        <v>2</v>
      </c>
      <c r="K191" s="1">
        <v>2</v>
      </c>
      <c r="L191" s="1">
        <v>0.05</v>
      </c>
      <c r="M191" s="1" t="s">
        <v>39</v>
      </c>
      <c r="N191" s="1" t="s">
        <v>32</v>
      </c>
    </row>
    <row r="192" spans="1:14" x14ac:dyDescent="0.25">
      <c r="A192" s="1" t="s">
        <v>412</v>
      </c>
      <c r="B192" s="3" t="s">
        <v>250</v>
      </c>
      <c r="C192" s="1" t="s">
        <v>318</v>
      </c>
      <c r="D192" s="1" t="s">
        <v>36</v>
      </c>
      <c r="E192" s="1">
        <v>57</v>
      </c>
      <c r="F192" s="1" t="s">
        <v>29</v>
      </c>
      <c r="G192" s="1" t="s">
        <v>30</v>
      </c>
      <c r="H192" s="1" t="s">
        <v>79</v>
      </c>
      <c r="I192" s="1" t="s">
        <v>23</v>
      </c>
      <c r="J192" s="1">
        <v>3</v>
      </c>
      <c r="K192" s="1">
        <v>500</v>
      </c>
      <c r="L192" s="1">
        <v>0.15</v>
      </c>
      <c r="M192" s="1" t="s">
        <v>39</v>
      </c>
      <c r="N192" s="1" t="s">
        <v>51</v>
      </c>
    </row>
    <row r="193" spans="1:14" x14ac:dyDescent="0.25">
      <c r="A193" s="1" t="s">
        <v>413</v>
      </c>
      <c r="B193" s="3" t="s">
        <v>185</v>
      </c>
      <c r="C193" s="1" t="s">
        <v>92</v>
      </c>
      <c r="D193" s="1" t="s">
        <v>36</v>
      </c>
      <c r="E193" s="1">
        <v>60</v>
      </c>
      <c r="F193" s="1" t="s">
        <v>29</v>
      </c>
      <c r="G193" s="1" t="s">
        <v>30</v>
      </c>
      <c r="H193" s="1" t="s">
        <v>118</v>
      </c>
      <c r="I193" s="1" t="s">
        <v>23</v>
      </c>
      <c r="J193" s="1">
        <v>9</v>
      </c>
      <c r="K193" s="1">
        <v>180</v>
      </c>
      <c r="L193" s="1">
        <v>0.1</v>
      </c>
      <c r="M193" s="1" t="s">
        <v>39</v>
      </c>
      <c r="N193" s="1" t="s">
        <v>51</v>
      </c>
    </row>
    <row r="194" spans="1:14" x14ac:dyDescent="0.25">
      <c r="A194" s="1" t="s">
        <v>414</v>
      </c>
      <c r="B194" s="3" t="s">
        <v>415</v>
      </c>
      <c r="C194" s="1" t="s">
        <v>105</v>
      </c>
      <c r="D194" s="1" t="s">
        <v>19</v>
      </c>
      <c r="E194" s="1">
        <v>55</v>
      </c>
      <c r="F194" s="1" t="s">
        <v>88</v>
      </c>
      <c r="G194" s="1" t="s">
        <v>89</v>
      </c>
      <c r="H194" s="1" t="s">
        <v>109</v>
      </c>
      <c r="I194" s="1" t="s">
        <v>50</v>
      </c>
      <c r="J194" s="1">
        <v>3</v>
      </c>
      <c r="K194" s="1">
        <v>80</v>
      </c>
      <c r="L194" s="1">
        <v>0.05</v>
      </c>
      <c r="M194" s="1" t="s">
        <v>31</v>
      </c>
      <c r="N194" s="1" t="s">
        <v>55</v>
      </c>
    </row>
    <row r="195" spans="1:14" x14ac:dyDescent="0.25">
      <c r="A195" s="1" t="s">
        <v>416</v>
      </c>
      <c r="B195" s="3" t="s">
        <v>417</v>
      </c>
      <c r="C195" s="1" t="s">
        <v>54</v>
      </c>
      <c r="D195" s="1" t="s">
        <v>36</v>
      </c>
      <c r="E195" s="1">
        <v>50</v>
      </c>
      <c r="F195" s="1" t="s">
        <v>29</v>
      </c>
      <c r="G195" s="1" t="s">
        <v>30</v>
      </c>
      <c r="H195" s="1" t="s">
        <v>68</v>
      </c>
      <c r="I195" s="1" t="s">
        <v>69</v>
      </c>
      <c r="J195" s="1">
        <v>4</v>
      </c>
      <c r="K195" s="1">
        <v>2</v>
      </c>
      <c r="L195" s="1">
        <v>0.05</v>
      </c>
      <c r="M195" s="1" t="s">
        <v>45</v>
      </c>
      <c r="N195" s="1" t="s">
        <v>32</v>
      </c>
    </row>
    <row r="196" spans="1:14" x14ac:dyDescent="0.25">
      <c r="A196" s="1" t="s">
        <v>418</v>
      </c>
      <c r="B196" s="3" t="s">
        <v>405</v>
      </c>
      <c r="C196" s="1" t="s">
        <v>96</v>
      </c>
      <c r="D196" s="1" t="s">
        <v>19</v>
      </c>
      <c r="E196" s="1">
        <v>23</v>
      </c>
      <c r="F196" s="1" t="s">
        <v>20</v>
      </c>
      <c r="G196" s="1" t="s">
        <v>21</v>
      </c>
      <c r="H196" s="1" t="s">
        <v>68</v>
      </c>
      <c r="I196" s="1" t="s">
        <v>69</v>
      </c>
      <c r="J196" s="1">
        <v>9</v>
      </c>
      <c r="K196" s="1">
        <v>2</v>
      </c>
      <c r="L196" s="1">
        <v>0.05</v>
      </c>
      <c r="M196" s="1" t="s">
        <v>45</v>
      </c>
      <c r="N196" s="1" t="s">
        <v>55</v>
      </c>
    </row>
    <row r="197" spans="1:14" x14ac:dyDescent="0.25">
      <c r="A197" s="1" t="s">
        <v>419</v>
      </c>
      <c r="B197" s="3" t="s">
        <v>250</v>
      </c>
      <c r="C197" s="1" t="s">
        <v>78</v>
      </c>
      <c r="D197" s="1" t="s">
        <v>36</v>
      </c>
      <c r="E197" s="1">
        <v>55</v>
      </c>
      <c r="F197" s="1" t="s">
        <v>20</v>
      </c>
      <c r="G197" s="1" t="s">
        <v>21</v>
      </c>
      <c r="H197" s="1" t="s">
        <v>118</v>
      </c>
      <c r="I197" s="1" t="s">
        <v>23</v>
      </c>
      <c r="J197" s="1">
        <v>7</v>
      </c>
      <c r="K197" s="1">
        <v>180</v>
      </c>
      <c r="L197" s="1">
        <v>0.1</v>
      </c>
      <c r="M197" s="1" t="s">
        <v>58</v>
      </c>
      <c r="N197" s="1" t="s">
        <v>32</v>
      </c>
    </row>
    <row r="198" spans="1:14" x14ac:dyDescent="0.25">
      <c r="A198" s="1" t="s">
        <v>420</v>
      </c>
      <c r="B198" s="3" t="s">
        <v>98</v>
      </c>
      <c r="C198" s="1" t="s">
        <v>233</v>
      </c>
      <c r="D198" s="1" t="s">
        <v>36</v>
      </c>
      <c r="E198" s="1">
        <v>37</v>
      </c>
      <c r="F198" s="1" t="s">
        <v>43</v>
      </c>
      <c r="G198" s="1" t="s">
        <v>44</v>
      </c>
      <c r="H198" s="1" t="s">
        <v>79</v>
      </c>
      <c r="I198" s="1" t="s">
        <v>23</v>
      </c>
      <c r="J198" s="1">
        <v>2</v>
      </c>
      <c r="K198" s="1">
        <v>500</v>
      </c>
      <c r="L198" s="1">
        <v>0</v>
      </c>
      <c r="M198" s="1" t="s">
        <v>58</v>
      </c>
      <c r="N198" s="1" t="s">
        <v>51</v>
      </c>
    </row>
    <row r="199" spans="1:14" x14ac:dyDescent="0.25">
      <c r="A199" s="1" t="s">
        <v>421</v>
      </c>
      <c r="B199" s="3" t="s">
        <v>328</v>
      </c>
      <c r="C199" s="1" t="s">
        <v>158</v>
      </c>
      <c r="D199" s="1" t="s">
        <v>36</v>
      </c>
      <c r="E199" s="1">
        <v>34</v>
      </c>
      <c r="F199" s="1" t="s">
        <v>43</v>
      </c>
      <c r="G199" s="1" t="s">
        <v>44</v>
      </c>
      <c r="H199" s="1" t="s">
        <v>22</v>
      </c>
      <c r="I199" s="1" t="s">
        <v>23</v>
      </c>
      <c r="J199" s="1">
        <v>5</v>
      </c>
      <c r="K199" s="1">
        <v>850</v>
      </c>
      <c r="L199" s="1">
        <v>0.15</v>
      </c>
      <c r="M199" s="1" t="s">
        <v>24</v>
      </c>
      <c r="N199" s="1" t="s">
        <v>25</v>
      </c>
    </row>
    <row r="200" spans="1:14" x14ac:dyDescent="0.25">
      <c r="A200" s="1" t="s">
        <v>422</v>
      </c>
      <c r="B200" s="3" t="s">
        <v>423</v>
      </c>
      <c r="C200" s="1" t="s">
        <v>61</v>
      </c>
      <c r="D200" s="1" t="s">
        <v>36</v>
      </c>
      <c r="E200" s="1">
        <v>27</v>
      </c>
      <c r="F200" s="1" t="s">
        <v>29</v>
      </c>
      <c r="G200" s="1" t="s">
        <v>30</v>
      </c>
      <c r="H200" s="1" t="s">
        <v>118</v>
      </c>
      <c r="I200" s="1" t="s">
        <v>23</v>
      </c>
      <c r="J200" s="1">
        <v>4</v>
      </c>
      <c r="K200" s="1">
        <v>180</v>
      </c>
      <c r="L200" s="1">
        <v>0.1</v>
      </c>
      <c r="M200" s="1" t="s">
        <v>45</v>
      </c>
      <c r="N200" s="1" t="s">
        <v>55</v>
      </c>
    </row>
    <row r="201" spans="1:14" x14ac:dyDescent="0.25">
      <c r="A201" s="1" t="s">
        <v>424</v>
      </c>
      <c r="B201" s="3" t="s">
        <v>425</v>
      </c>
      <c r="C201" s="1" t="s">
        <v>294</v>
      </c>
      <c r="D201" s="1" t="s">
        <v>19</v>
      </c>
      <c r="E201" s="1">
        <v>29</v>
      </c>
      <c r="F201" s="1" t="s">
        <v>20</v>
      </c>
      <c r="G201" s="1" t="s">
        <v>21</v>
      </c>
      <c r="H201" s="1" t="s">
        <v>68</v>
      </c>
      <c r="I201" s="1" t="s">
        <v>69</v>
      </c>
      <c r="J201" s="1">
        <v>1</v>
      </c>
      <c r="K201" s="1">
        <v>2</v>
      </c>
      <c r="L201" s="1">
        <v>0.15</v>
      </c>
      <c r="M201" s="1" t="s">
        <v>39</v>
      </c>
      <c r="N201" s="1" t="s">
        <v>51</v>
      </c>
    </row>
    <row r="202" spans="1:14" x14ac:dyDescent="0.25">
      <c r="A202" s="1" t="s">
        <v>426</v>
      </c>
      <c r="B202" s="3" t="s">
        <v>427</v>
      </c>
      <c r="C202" s="1" t="s">
        <v>303</v>
      </c>
      <c r="D202" s="1" t="s">
        <v>19</v>
      </c>
      <c r="E202" s="1">
        <v>47</v>
      </c>
      <c r="F202" s="1" t="s">
        <v>43</v>
      </c>
      <c r="G202" s="1" t="s">
        <v>44</v>
      </c>
      <c r="H202" s="1" t="s">
        <v>73</v>
      </c>
      <c r="I202" s="1" t="s">
        <v>69</v>
      </c>
      <c r="J202" s="1">
        <v>9</v>
      </c>
      <c r="K202" s="1">
        <v>5</v>
      </c>
      <c r="L202" s="1">
        <v>0</v>
      </c>
      <c r="M202" s="1" t="s">
        <v>24</v>
      </c>
      <c r="N202" s="1" t="s">
        <v>51</v>
      </c>
    </row>
    <row r="203" spans="1:14" x14ac:dyDescent="0.25">
      <c r="A203" s="1" t="s">
        <v>428</v>
      </c>
      <c r="B203" s="3" t="s">
        <v>227</v>
      </c>
      <c r="C203" s="1" t="s">
        <v>54</v>
      </c>
      <c r="D203" s="1" t="s">
        <v>19</v>
      </c>
      <c r="E203" s="1">
        <v>18</v>
      </c>
      <c r="F203" s="1" t="s">
        <v>37</v>
      </c>
      <c r="G203" s="1" t="s">
        <v>38</v>
      </c>
      <c r="H203" s="1" t="s">
        <v>79</v>
      </c>
      <c r="I203" s="1" t="s">
        <v>23</v>
      </c>
      <c r="J203" s="1">
        <v>8</v>
      </c>
      <c r="K203" s="1">
        <v>500</v>
      </c>
      <c r="L203" s="1">
        <v>0.15</v>
      </c>
      <c r="M203" s="1" t="s">
        <v>31</v>
      </c>
      <c r="N203" s="1" t="s">
        <v>25</v>
      </c>
    </row>
    <row r="204" spans="1:14" x14ac:dyDescent="0.25">
      <c r="A204" s="1" t="s">
        <v>429</v>
      </c>
      <c r="B204" s="3" t="s">
        <v>248</v>
      </c>
      <c r="C204" s="1" t="s">
        <v>188</v>
      </c>
      <c r="D204" s="1" t="s">
        <v>36</v>
      </c>
      <c r="E204" s="1">
        <v>35</v>
      </c>
      <c r="F204" s="1" t="s">
        <v>37</v>
      </c>
      <c r="G204" s="1" t="s">
        <v>38</v>
      </c>
      <c r="H204" s="1" t="s">
        <v>68</v>
      </c>
      <c r="I204" s="1" t="s">
        <v>69</v>
      </c>
      <c r="J204" s="1">
        <v>3</v>
      </c>
      <c r="K204" s="1">
        <v>2</v>
      </c>
      <c r="L204" s="1">
        <v>0.1</v>
      </c>
      <c r="M204" s="1" t="s">
        <v>45</v>
      </c>
      <c r="N204" s="1" t="s">
        <v>25</v>
      </c>
    </row>
    <row r="205" spans="1:14" x14ac:dyDescent="0.25">
      <c r="A205" s="1" t="s">
        <v>430</v>
      </c>
      <c r="B205" s="3" t="s">
        <v>84</v>
      </c>
      <c r="C205" s="1" t="s">
        <v>158</v>
      </c>
      <c r="D205" s="1" t="s">
        <v>19</v>
      </c>
      <c r="E205" s="1">
        <v>46</v>
      </c>
      <c r="F205" s="1" t="s">
        <v>88</v>
      </c>
      <c r="G205" s="1" t="s">
        <v>89</v>
      </c>
      <c r="H205" s="1" t="s">
        <v>62</v>
      </c>
      <c r="I205" s="1" t="s">
        <v>23</v>
      </c>
      <c r="J205" s="1">
        <v>10</v>
      </c>
      <c r="K205" s="1">
        <v>15</v>
      </c>
      <c r="L205" s="1">
        <v>0.15</v>
      </c>
      <c r="M205" s="1" t="s">
        <v>58</v>
      </c>
      <c r="N205" s="1" t="s">
        <v>51</v>
      </c>
    </row>
    <row r="206" spans="1:14" x14ac:dyDescent="0.25">
      <c r="A206" s="1" t="s">
        <v>431</v>
      </c>
      <c r="B206" s="3" t="s">
        <v>432</v>
      </c>
      <c r="C206" s="1" t="s">
        <v>92</v>
      </c>
      <c r="D206" s="1" t="s">
        <v>19</v>
      </c>
      <c r="E206" s="1">
        <v>46</v>
      </c>
      <c r="F206" s="1" t="s">
        <v>20</v>
      </c>
      <c r="G206" s="1" t="s">
        <v>21</v>
      </c>
      <c r="H206" s="1" t="s">
        <v>49</v>
      </c>
      <c r="I206" s="1" t="s">
        <v>50</v>
      </c>
      <c r="J206" s="1">
        <v>7</v>
      </c>
      <c r="K206" s="1">
        <v>120</v>
      </c>
      <c r="L206" s="1">
        <v>0.05</v>
      </c>
      <c r="M206" s="1" t="s">
        <v>24</v>
      </c>
      <c r="N206" s="1" t="s">
        <v>51</v>
      </c>
    </row>
    <row r="207" spans="1:14" x14ac:dyDescent="0.25">
      <c r="A207" s="1" t="s">
        <v>433</v>
      </c>
      <c r="B207" s="3" t="s">
        <v>122</v>
      </c>
      <c r="C207" s="1" t="s">
        <v>233</v>
      </c>
      <c r="D207" s="1" t="s">
        <v>19</v>
      </c>
      <c r="E207" s="1">
        <v>39</v>
      </c>
      <c r="F207" s="1" t="s">
        <v>29</v>
      </c>
      <c r="G207" s="1" t="s">
        <v>30</v>
      </c>
      <c r="H207" s="1" t="s">
        <v>49</v>
      </c>
      <c r="I207" s="1" t="s">
        <v>50</v>
      </c>
      <c r="J207" s="1">
        <v>1</v>
      </c>
      <c r="K207" s="1">
        <v>120</v>
      </c>
      <c r="L207" s="1">
        <v>0.15</v>
      </c>
      <c r="M207" s="1" t="s">
        <v>58</v>
      </c>
      <c r="N207" s="1" t="s">
        <v>51</v>
      </c>
    </row>
    <row r="208" spans="1:14" x14ac:dyDescent="0.25">
      <c r="A208" s="1" t="s">
        <v>434</v>
      </c>
      <c r="B208" s="3" t="s">
        <v>435</v>
      </c>
      <c r="C208" s="1" t="s">
        <v>105</v>
      </c>
      <c r="D208" s="1" t="s">
        <v>36</v>
      </c>
      <c r="E208" s="1">
        <v>49</v>
      </c>
      <c r="F208" s="1" t="s">
        <v>88</v>
      </c>
      <c r="G208" s="1" t="s">
        <v>89</v>
      </c>
      <c r="H208" s="1" t="s">
        <v>62</v>
      </c>
      <c r="I208" s="1" t="s">
        <v>23</v>
      </c>
      <c r="J208" s="1">
        <v>7</v>
      </c>
      <c r="K208" s="1">
        <v>15</v>
      </c>
      <c r="L208" s="1">
        <v>0</v>
      </c>
      <c r="M208" s="1" t="s">
        <v>58</v>
      </c>
      <c r="N208" s="1" t="s">
        <v>32</v>
      </c>
    </row>
    <row r="209" spans="1:14" x14ac:dyDescent="0.25">
      <c r="A209" s="1" t="s">
        <v>436</v>
      </c>
      <c r="B209" s="3" t="s">
        <v>179</v>
      </c>
      <c r="C209" s="1" t="s">
        <v>96</v>
      </c>
      <c r="D209" s="1" t="s">
        <v>36</v>
      </c>
      <c r="E209" s="1">
        <v>44</v>
      </c>
      <c r="F209" s="1" t="s">
        <v>29</v>
      </c>
      <c r="G209" s="1" t="s">
        <v>30</v>
      </c>
      <c r="H209" s="1" t="s">
        <v>68</v>
      </c>
      <c r="I209" s="1" t="s">
        <v>69</v>
      </c>
      <c r="J209" s="1">
        <v>4</v>
      </c>
      <c r="K209" s="1">
        <v>2</v>
      </c>
      <c r="L209" s="1">
        <v>0.15</v>
      </c>
      <c r="M209" s="1" t="s">
        <v>24</v>
      </c>
      <c r="N209" s="1" t="s">
        <v>51</v>
      </c>
    </row>
    <row r="210" spans="1:14" x14ac:dyDescent="0.25">
      <c r="A210" s="1" t="s">
        <v>437</v>
      </c>
      <c r="B210" s="3" t="s">
        <v>27</v>
      </c>
      <c r="C210" s="1" t="s">
        <v>108</v>
      </c>
      <c r="D210" s="1" t="s">
        <v>36</v>
      </c>
      <c r="E210" s="1">
        <v>28</v>
      </c>
      <c r="F210" s="1" t="s">
        <v>29</v>
      </c>
      <c r="G210" s="1" t="s">
        <v>30</v>
      </c>
      <c r="H210" s="1" t="s">
        <v>49</v>
      </c>
      <c r="I210" s="1" t="s">
        <v>50</v>
      </c>
      <c r="J210" s="1">
        <v>6</v>
      </c>
      <c r="K210" s="1">
        <v>120</v>
      </c>
      <c r="L210" s="1">
        <v>0.1</v>
      </c>
      <c r="M210" s="1" t="s">
        <v>93</v>
      </c>
      <c r="N210" s="1" t="s">
        <v>55</v>
      </c>
    </row>
    <row r="211" spans="1:14" x14ac:dyDescent="0.25">
      <c r="A211" s="1" t="s">
        <v>438</v>
      </c>
      <c r="B211" s="3" t="s">
        <v>64</v>
      </c>
      <c r="C211" s="1" t="s">
        <v>258</v>
      </c>
      <c r="D211" s="1" t="s">
        <v>36</v>
      </c>
      <c r="E211" s="1">
        <v>25</v>
      </c>
      <c r="F211" s="1" t="s">
        <v>43</v>
      </c>
      <c r="G211" s="1" t="s">
        <v>44</v>
      </c>
      <c r="H211" s="1" t="s">
        <v>62</v>
      </c>
      <c r="I211" s="1" t="s">
        <v>23</v>
      </c>
      <c r="J211" s="1">
        <v>7</v>
      </c>
      <c r="K211" s="1">
        <v>15</v>
      </c>
      <c r="L211" s="1">
        <v>0.05</v>
      </c>
      <c r="M211" s="1" t="s">
        <v>31</v>
      </c>
      <c r="N211" s="1" t="s">
        <v>51</v>
      </c>
    </row>
    <row r="212" spans="1:14" x14ac:dyDescent="0.25">
      <c r="A212" s="1" t="s">
        <v>439</v>
      </c>
      <c r="B212" s="3" t="s">
        <v>162</v>
      </c>
      <c r="C212" s="1" t="s">
        <v>240</v>
      </c>
      <c r="D212" s="1" t="s">
        <v>36</v>
      </c>
      <c r="E212" s="1">
        <v>29</v>
      </c>
      <c r="F212" s="1" t="s">
        <v>88</v>
      </c>
      <c r="G212" s="1" t="s">
        <v>89</v>
      </c>
      <c r="H212" s="1" t="s">
        <v>49</v>
      </c>
      <c r="I212" s="1" t="s">
        <v>50</v>
      </c>
      <c r="J212" s="1">
        <v>5</v>
      </c>
      <c r="K212" s="1">
        <v>120</v>
      </c>
      <c r="L212" s="1">
        <v>0.15</v>
      </c>
      <c r="M212" s="1" t="s">
        <v>31</v>
      </c>
      <c r="N212" s="1" t="s">
        <v>32</v>
      </c>
    </row>
    <row r="213" spans="1:14" x14ac:dyDescent="0.25">
      <c r="A213" s="1" t="s">
        <v>440</v>
      </c>
      <c r="B213" s="3" t="s">
        <v>170</v>
      </c>
      <c r="C213" s="1" t="s">
        <v>350</v>
      </c>
      <c r="D213" s="1" t="s">
        <v>36</v>
      </c>
      <c r="E213" s="1">
        <v>18</v>
      </c>
      <c r="F213" s="1" t="s">
        <v>29</v>
      </c>
      <c r="G213" s="1" t="s">
        <v>30</v>
      </c>
      <c r="H213" s="1" t="s">
        <v>68</v>
      </c>
      <c r="I213" s="1" t="s">
        <v>69</v>
      </c>
      <c r="J213" s="1">
        <v>4</v>
      </c>
      <c r="K213" s="1">
        <v>2</v>
      </c>
      <c r="L213" s="1">
        <v>0.1</v>
      </c>
      <c r="M213" s="1" t="s">
        <v>93</v>
      </c>
      <c r="N213" s="1" t="s">
        <v>32</v>
      </c>
    </row>
    <row r="214" spans="1:14" x14ac:dyDescent="0.25">
      <c r="A214" s="1" t="s">
        <v>441</v>
      </c>
      <c r="B214" s="3" t="s">
        <v>41</v>
      </c>
      <c r="C214" s="1" t="s">
        <v>303</v>
      </c>
      <c r="D214" s="1" t="s">
        <v>36</v>
      </c>
      <c r="E214" s="1">
        <v>43</v>
      </c>
      <c r="F214" s="1" t="s">
        <v>37</v>
      </c>
      <c r="G214" s="1" t="s">
        <v>38</v>
      </c>
      <c r="H214" s="1" t="s">
        <v>73</v>
      </c>
      <c r="I214" s="1" t="s">
        <v>69</v>
      </c>
      <c r="J214" s="1">
        <v>8</v>
      </c>
      <c r="K214" s="1">
        <v>5</v>
      </c>
      <c r="L214" s="1">
        <v>0.1</v>
      </c>
      <c r="M214" s="1" t="s">
        <v>39</v>
      </c>
      <c r="N214" s="1" t="s">
        <v>51</v>
      </c>
    </row>
    <row r="215" spans="1:14" x14ac:dyDescent="0.25">
      <c r="A215" s="1" t="s">
        <v>442</v>
      </c>
      <c r="B215" s="3" t="s">
        <v>328</v>
      </c>
      <c r="C215" s="1" t="s">
        <v>102</v>
      </c>
      <c r="D215" s="1" t="s">
        <v>36</v>
      </c>
      <c r="E215" s="1">
        <v>41</v>
      </c>
      <c r="F215" s="1" t="s">
        <v>29</v>
      </c>
      <c r="G215" s="1" t="s">
        <v>30</v>
      </c>
      <c r="H215" s="1" t="s">
        <v>62</v>
      </c>
      <c r="I215" s="1" t="s">
        <v>23</v>
      </c>
      <c r="J215" s="1">
        <v>10</v>
      </c>
      <c r="K215" s="1">
        <v>15</v>
      </c>
      <c r="L215" s="1">
        <v>0.15</v>
      </c>
      <c r="M215" s="1" t="s">
        <v>58</v>
      </c>
      <c r="N215" s="1" t="s">
        <v>32</v>
      </c>
    </row>
    <row r="216" spans="1:14" x14ac:dyDescent="0.25">
      <c r="A216" s="1" t="s">
        <v>443</v>
      </c>
      <c r="B216" s="3" t="s">
        <v>164</v>
      </c>
      <c r="C216" s="1" t="s">
        <v>149</v>
      </c>
      <c r="D216" s="1" t="s">
        <v>19</v>
      </c>
      <c r="E216" s="1">
        <v>31</v>
      </c>
      <c r="F216" s="1" t="s">
        <v>37</v>
      </c>
      <c r="G216" s="1" t="s">
        <v>38</v>
      </c>
      <c r="H216" s="1" t="s">
        <v>62</v>
      </c>
      <c r="I216" s="1" t="s">
        <v>23</v>
      </c>
      <c r="J216" s="1">
        <v>10</v>
      </c>
      <c r="K216" s="1">
        <v>15</v>
      </c>
      <c r="L216" s="1">
        <v>0.05</v>
      </c>
      <c r="M216" s="1" t="s">
        <v>31</v>
      </c>
      <c r="N216" s="1" t="s">
        <v>55</v>
      </c>
    </row>
    <row r="217" spans="1:14" x14ac:dyDescent="0.25">
      <c r="A217" s="1" t="s">
        <v>444</v>
      </c>
      <c r="B217" s="3" t="s">
        <v>401</v>
      </c>
      <c r="C217" s="1" t="s">
        <v>258</v>
      </c>
      <c r="D217" s="1" t="s">
        <v>36</v>
      </c>
      <c r="E217" s="1">
        <v>40</v>
      </c>
      <c r="F217" s="1" t="s">
        <v>88</v>
      </c>
      <c r="G217" s="1" t="s">
        <v>89</v>
      </c>
      <c r="H217" s="1" t="s">
        <v>68</v>
      </c>
      <c r="I217" s="1" t="s">
        <v>69</v>
      </c>
      <c r="J217" s="1">
        <v>9</v>
      </c>
      <c r="K217" s="1">
        <v>2</v>
      </c>
      <c r="L217" s="1">
        <v>0.1</v>
      </c>
      <c r="M217" s="1" t="s">
        <v>45</v>
      </c>
      <c r="N217" s="1" t="s">
        <v>32</v>
      </c>
    </row>
    <row r="218" spans="1:14" x14ac:dyDescent="0.25">
      <c r="A218" s="1" t="s">
        <v>445</v>
      </c>
      <c r="B218" s="3" t="s">
        <v>423</v>
      </c>
      <c r="C218" s="1" t="s">
        <v>48</v>
      </c>
      <c r="D218" s="1" t="s">
        <v>36</v>
      </c>
      <c r="E218" s="1">
        <v>21</v>
      </c>
      <c r="F218" s="1" t="s">
        <v>29</v>
      </c>
      <c r="G218" s="1" t="s">
        <v>30</v>
      </c>
      <c r="H218" s="1" t="s">
        <v>73</v>
      </c>
      <c r="I218" s="1" t="s">
        <v>69</v>
      </c>
      <c r="J218" s="1">
        <v>4</v>
      </c>
      <c r="K218" s="1">
        <v>5</v>
      </c>
      <c r="L218" s="1">
        <v>0.05</v>
      </c>
      <c r="M218" s="1" t="s">
        <v>31</v>
      </c>
      <c r="N218" s="1" t="s">
        <v>51</v>
      </c>
    </row>
    <row r="219" spans="1:14" x14ac:dyDescent="0.25">
      <c r="A219" s="1" t="s">
        <v>446</v>
      </c>
      <c r="B219" s="3" t="s">
        <v>197</v>
      </c>
      <c r="C219" s="1" t="s">
        <v>54</v>
      </c>
      <c r="D219" s="1" t="s">
        <v>19</v>
      </c>
      <c r="E219" s="1">
        <v>31</v>
      </c>
      <c r="F219" s="1" t="s">
        <v>20</v>
      </c>
      <c r="G219" s="1" t="s">
        <v>21</v>
      </c>
      <c r="H219" s="1" t="s">
        <v>49</v>
      </c>
      <c r="I219" s="1" t="s">
        <v>50</v>
      </c>
      <c r="J219" s="1">
        <v>1</v>
      </c>
      <c r="K219" s="1">
        <v>120</v>
      </c>
      <c r="L219" s="1">
        <v>0.15</v>
      </c>
      <c r="M219" s="1" t="s">
        <v>45</v>
      </c>
      <c r="N219" s="1" t="s">
        <v>25</v>
      </c>
    </row>
    <row r="220" spans="1:14" x14ac:dyDescent="0.25">
      <c r="A220" s="1" t="s">
        <v>447</v>
      </c>
      <c r="B220" s="3" t="s">
        <v>448</v>
      </c>
      <c r="C220" s="1" t="s">
        <v>117</v>
      </c>
      <c r="D220" s="1" t="s">
        <v>36</v>
      </c>
      <c r="E220" s="1">
        <v>37</v>
      </c>
      <c r="F220" s="1" t="s">
        <v>37</v>
      </c>
      <c r="G220" s="1" t="s">
        <v>38</v>
      </c>
      <c r="H220" s="1" t="s">
        <v>118</v>
      </c>
      <c r="I220" s="1" t="s">
        <v>23</v>
      </c>
      <c r="J220" s="1">
        <v>3</v>
      </c>
      <c r="K220" s="1">
        <v>180</v>
      </c>
      <c r="L220" s="1">
        <v>0.1</v>
      </c>
      <c r="M220" s="1" t="s">
        <v>58</v>
      </c>
      <c r="N220" s="1" t="s">
        <v>32</v>
      </c>
    </row>
    <row r="221" spans="1:14" x14ac:dyDescent="0.25">
      <c r="A221" s="1" t="s">
        <v>449</v>
      </c>
      <c r="B221" s="3" t="s">
        <v>398</v>
      </c>
      <c r="C221" s="1" t="s">
        <v>258</v>
      </c>
      <c r="D221" s="1" t="s">
        <v>36</v>
      </c>
      <c r="E221" s="1">
        <v>24</v>
      </c>
      <c r="F221" s="1" t="s">
        <v>20</v>
      </c>
      <c r="G221" s="1" t="s">
        <v>21</v>
      </c>
      <c r="H221" s="1" t="s">
        <v>49</v>
      </c>
      <c r="I221" s="1" t="s">
        <v>50</v>
      </c>
      <c r="J221" s="1">
        <v>10</v>
      </c>
      <c r="K221" s="1">
        <v>120</v>
      </c>
      <c r="L221" s="1">
        <v>0.15</v>
      </c>
      <c r="M221" s="1" t="s">
        <v>58</v>
      </c>
      <c r="N221" s="1" t="s">
        <v>32</v>
      </c>
    </row>
    <row r="222" spans="1:14" x14ac:dyDescent="0.25">
      <c r="A222" s="1" t="s">
        <v>450</v>
      </c>
      <c r="B222" s="3" t="s">
        <v>451</v>
      </c>
      <c r="C222" s="1" t="s">
        <v>48</v>
      </c>
      <c r="D222" s="1" t="s">
        <v>19</v>
      </c>
      <c r="E222" s="1">
        <v>37</v>
      </c>
      <c r="F222" s="1" t="s">
        <v>29</v>
      </c>
      <c r="G222" s="1" t="s">
        <v>30</v>
      </c>
      <c r="H222" s="1" t="s">
        <v>49</v>
      </c>
      <c r="I222" s="1" t="s">
        <v>50</v>
      </c>
      <c r="J222" s="1">
        <v>3</v>
      </c>
      <c r="K222" s="1">
        <v>120</v>
      </c>
      <c r="L222" s="1">
        <v>0</v>
      </c>
      <c r="M222" s="1" t="s">
        <v>39</v>
      </c>
      <c r="N222" s="1" t="s">
        <v>51</v>
      </c>
    </row>
    <row r="223" spans="1:14" x14ac:dyDescent="0.25">
      <c r="A223" s="1" t="s">
        <v>452</v>
      </c>
      <c r="B223" s="3" t="s">
        <v>453</v>
      </c>
      <c r="C223" s="1" t="s">
        <v>158</v>
      </c>
      <c r="D223" s="1" t="s">
        <v>36</v>
      </c>
      <c r="E223" s="1">
        <v>27</v>
      </c>
      <c r="F223" s="1" t="s">
        <v>29</v>
      </c>
      <c r="G223" s="1" t="s">
        <v>30</v>
      </c>
      <c r="H223" s="1" t="s">
        <v>62</v>
      </c>
      <c r="I223" s="1" t="s">
        <v>23</v>
      </c>
      <c r="J223" s="1">
        <v>3</v>
      </c>
      <c r="K223" s="1">
        <v>15</v>
      </c>
      <c r="L223" s="1">
        <v>0</v>
      </c>
      <c r="M223" s="1" t="s">
        <v>31</v>
      </c>
      <c r="N223" s="1" t="s">
        <v>32</v>
      </c>
    </row>
    <row r="224" spans="1:14" x14ac:dyDescent="0.25">
      <c r="A224" s="1" t="s">
        <v>454</v>
      </c>
      <c r="B224" s="3" t="s">
        <v>197</v>
      </c>
      <c r="C224" s="1" t="s">
        <v>35</v>
      </c>
      <c r="D224" s="1" t="s">
        <v>19</v>
      </c>
      <c r="E224" s="1">
        <v>59</v>
      </c>
      <c r="F224" s="1" t="s">
        <v>20</v>
      </c>
      <c r="G224" s="1" t="s">
        <v>21</v>
      </c>
      <c r="H224" s="1" t="s">
        <v>62</v>
      </c>
      <c r="I224" s="1" t="s">
        <v>23</v>
      </c>
      <c r="J224" s="1">
        <v>7</v>
      </c>
      <c r="K224" s="1">
        <v>15</v>
      </c>
      <c r="L224" s="1">
        <v>0.15</v>
      </c>
      <c r="M224" s="1" t="s">
        <v>39</v>
      </c>
      <c r="N224" s="1" t="s">
        <v>55</v>
      </c>
    </row>
    <row r="225" spans="1:14" x14ac:dyDescent="0.25">
      <c r="A225" s="1" t="s">
        <v>455</v>
      </c>
      <c r="B225" s="3" t="s">
        <v>216</v>
      </c>
      <c r="C225" s="1" t="s">
        <v>114</v>
      </c>
      <c r="D225" s="1" t="s">
        <v>36</v>
      </c>
      <c r="E225" s="1">
        <v>40</v>
      </c>
      <c r="F225" s="1" t="s">
        <v>88</v>
      </c>
      <c r="G225" s="1" t="s">
        <v>89</v>
      </c>
      <c r="H225" s="1" t="s">
        <v>62</v>
      </c>
      <c r="I225" s="1" t="s">
        <v>23</v>
      </c>
      <c r="J225" s="1">
        <v>4</v>
      </c>
      <c r="K225" s="1">
        <v>15</v>
      </c>
      <c r="L225" s="1">
        <v>0.1</v>
      </c>
      <c r="M225" s="1" t="s">
        <v>24</v>
      </c>
      <c r="N225" s="1" t="s">
        <v>32</v>
      </c>
    </row>
    <row r="226" spans="1:14" x14ac:dyDescent="0.25">
      <c r="A226" s="1" t="s">
        <v>456</v>
      </c>
      <c r="B226" s="3" t="s">
        <v>75</v>
      </c>
      <c r="C226" s="1" t="s">
        <v>82</v>
      </c>
      <c r="D226" s="1" t="s">
        <v>19</v>
      </c>
      <c r="E226" s="1">
        <v>21</v>
      </c>
      <c r="F226" s="1" t="s">
        <v>29</v>
      </c>
      <c r="G226" s="1" t="s">
        <v>30</v>
      </c>
      <c r="H226" s="1" t="s">
        <v>79</v>
      </c>
      <c r="I226" s="1" t="s">
        <v>23</v>
      </c>
      <c r="J226" s="1">
        <v>7</v>
      </c>
      <c r="K226" s="1">
        <v>500</v>
      </c>
      <c r="L226" s="1">
        <v>0</v>
      </c>
      <c r="M226" s="1" t="s">
        <v>58</v>
      </c>
      <c r="N226" s="1" t="s">
        <v>55</v>
      </c>
    </row>
    <row r="227" spans="1:14" x14ac:dyDescent="0.25">
      <c r="A227" s="1" t="s">
        <v>457</v>
      </c>
      <c r="B227" s="3" t="s">
        <v>458</v>
      </c>
      <c r="C227" s="1" t="s">
        <v>28</v>
      </c>
      <c r="D227" s="1" t="s">
        <v>36</v>
      </c>
      <c r="E227" s="1">
        <v>31</v>
      </c>
      <c r="F227" s="1" t="s">
        <v>37</v>
      </c>
      <c r="G227" s="1" t="s">
        <v>38</v>
      </c>
      <c r="H227" s="1" t="s">
        <v>22</v>
      </c>
      <c r="I227" s="1" t="s">
        <v>23</v>
      </c>
      <c r="J227" s="1">
        <v>3</v>
      </c>
      <c r="K227" s="1">
        <v>850</v>
      </c>
      <c r="L227" s="1">
        <v>0.15</v>
      </c>
      <c r="M227" s="1" t="s">
        <v>24</v>
      </c>
      <c r="N227" s="1" t="s">
        <v>25</v>
      </c>
    </row>
    <row r="228" spans="1:14" x14ac:dyDescent="0.25">
      <c r="A228" s="1" t="s">
        <v>459</v>
      </c>
      <c r="B228" s="3" t="s">
        <v>197</v>
      </c>
      <c r="C228" s="1" t="s">
        <v>289</v>
      </c>
      <c r="D228" s="1" t="s">
        <v>36</v>
      </c>
      <c r="E228" s="1">
        <v>30</v>
      </c>
      <c r="F228" s="1" t="s">
        <v>20</v>
      </c>
      <c r="G228" s="1" t="s">
        <v>21</v>
      </c>
      <c r="H228" s="1" t="s">
        <v>118</v>
      </c>
      <c r="I228" s="1" t="s">
        <v>23</v>
      </c>
      <c r="J228" s="1">
        <v>1</v>
      </c>
      <c r="K228" s="1">
        <v>180</v>
      </c>
      <c r="L228" s="1">
        <v>0.15</v>
      </c>
      <c r="M228" s="1" t="s">
        <v>45</v>
      </c>
      <c r="N228" s="1" t="s">
        <v>25</v>
      </c>
    </row>
    <row r="229" spans="1:14" x14ac:dyDescent="0.25">
      <c r="A229" s="1" t="s">
        <v>460</v>
      </c>
      <c r="B229" s="3" t="s">
        <v>461</v>
      </c>
      <c r="C229" s="1" t="s">
        <v>149</v>
      </c>
      <c r="D229" s="1" t="s">
        <v>36</v>
      </c>
      <c r="E229" s="1">
        <v>22</v>
      </c>
      <c r="F229" s="1" t="s">
        <v>88</v>
      </c>
      <c r="G229" s="1" t="s">
        <v>89</v>
      </c>
      <c r="H229" s="1" t="s">
        <v>73</v>
      </c>
      <c r="I229" s="1" t="s">
        <v>69</v>
      </c>
      <c r="J229" s="1">
        <v>5</v>
      </c>
      <c r="K229" s="1">
        <v>5</v>
      </c>
      <c r="L229" s="1">
        <v>0</v>
      </c>
      <c r="M229" s="1" t="s">
        <v>39</v>
      </c>
      <c r="N229" s="1" t="s">
        <v>25</v>
      </c>
    </row>
    <row r="230" spans="1:14" x14ac:dyDescent="0.25">
      <c r="A230" s="1" t="s">
        <v>462</v>
      </c>
      <c r="B230" s="3" t="s">
        <v>212</v>
      </c>
      <c r="C230" s="1" t="s">
        <v>182</v>
      </c>
      <c r="D230" s="1" t="s">
        <v>36</v>
      </c>
      <c r="E230" s="1">
        <v>38</v>
      </c>
      <c r="F230" s="1" t="s">
        <v>29</v>
      </c>
      <c r="G230" s="1" t="s">
        <v>30</v>
      </c>
      <c r="H230" s="1" t="s">
        <v>62</v>
      </c>
      <c r="I230" s="1" t="s">
        <v>23</v>
      </c>
      <c r="J230" s="1">
        <v>3</v>
      </c>
      <c r="K230" s="1">
        <v>15</v>
      </c>
      <c r="L230" s="1">
        <v>0.1</v>
      </c>
      <c r="M230" s="1" t="s">
        <v>93</v>
      </c>
      <c r="N230" s="1" t="s">
        <v>55</v>
      </c>
    </row>
    <row r="231" spans="1:14" x14ac:dyDescent="0.25">
      <c r="A231" s="1" t="s">
        <v>463</v>
      </c>
      <c r="B231" s="3" t="s">
        <v>323</v>
      </c>
      <c r="C231" s="1" t="s">
        <v>268</v>
      </c>
      <c r="D231" s="1" t="s">
        <v>36</v>
      </c>
      <c r="E231" s="1">
        <v>55</v>
      </c>
      <c r="F231" s="1" t="s">
        <v>88</v>
      </c>
      <c r="G231" s="1" t="s">
        <v>89</v>
      </c>
      <c r="H231" s="1" t="s">
        <v>79</v>
      </c>
      <c r="I231" s="1" t="s">
        <v>23</v>
      </c>
      <c r="J231" s="1">
        <v>1</v>
      </c>
      <c r="K231" s="1">
        <v>500</v>
      </c>
      <c r="L231" s="1">
        <v>0.05</v>
      </c>
      <c r="M231" s="1" t="s">
        <v>39</v>
      </c>
      <c r="N231" s="1" t="s">
        <v>51</v>
      </c>
    </row>
    <row r="232" spans="1:14" x14ac:dyDescent="0.25">
      <c r="A232" s="1" t="s">
        <v>464</v>
      </c>
      <c r="B232" s="3" t="s">
        <v>122</v>
      </c>
      <c r="C232" s="1" t="s">
        <v>117</v>
      </c>
      <c r="D232" s="1" t="s">
        <v>36</v>
      </c>
      <c r="E232" s="1">
        <v>38</v>
      </c>
      <c r="F232" s="1" t="s">
        <v>43</v>
      </c>
      <c r="G232" s="1" t="s">
        <v>44</v>
      </c>
      <c r="H232" s="1" t="s">
        <v>62</v>
      </c>
      <c r="I232" s="1" t="s">
        <v>23</v>
      </c>
      <c r="J232" s="1">
        <v>3</v>
      </c>
      <c r="K232" s="1">
        <v>15</v>
      </c>
      <c r="L232" s="1">
        <v>0.05</v>
      </c>
      <c r="M232" s="1" t="s">
        <v>58</v>
      </c>
      <c r="N232" s="1" t="s">
        <v>25</v>
      </c>
    </row>
    <row r="233" spans="1:14" x14ac:dyDescent="0.25">
      <c r="A233" s="1" t="s">
        <v>465</v>
      </c>
      <c r="B233" s="3" t="s">
        <v>299</v>
      </c>
      <c r="C233" s="1" t="s">
        <v>318</v>
      </c>
      <c r="D233" s="1" t="s">
        <v>19</v>
      </c>
      <c r="E233" s="1">
        <v>20</v>
      </c>
      <c r="F233" s="1" t="s">
        <v>20</v>
      </c>
      <c r="G233" s="1" t="s">
        <v>21</v>
      </c>
      <c r="H233" s="1" t="s">
        <v>109</v>
      </c>
      <c r="I233" s="1" t="s">
        <v>50</v>
      </c>
      <c r="J233" s="1">
        <v>3</v>
      </c>
      <c r="K233" s="1">
        <v>80</v>
      </c>
      <c r="L233" s="1">
        <v>0.1</v>
      </c>
      <c r="M233" s="1" t="s">
        <v>58</v>
      </c>
      <c r="N233" s="1" t="s">
        <v>32</v>
      </c>
    </row>
    <row r="234" spans="1:14" x14ac:dyDescent="0.25">
      <c r="A234" s="1" t="s">
        <v>466</v>
      </c>
      <c r="B234" s="3" t="s">
        <v>321</v>
      </c>
      <c r="C234" s="1" t="s">
        <v>165</v>
      </c>
      <c r="D234" s="1" t="s">
        <v>36</v>
      </c>
      <c r="E234" s="1">
        <v>44</v>
      </c>
      <c r="F234" s="1" t="s">
        <v>43</v>
      </c>
      <c r="G234" s="1" t="s">
        <v>44</v>
      </c>
      <c r="H234" s="1" t="s">
        <v>118</v>
      </c>
      <c r="I234" s="1" t="s">
        <v>23</v>
      </c>
      <c r="J234" s="1">
        <v>9</v>
      </c>
      <c r="K234" s="1">
        <v>180</v>
      </c>
      <c r="L234" s="1">
        <v>0</v>
      </c>
      <c r="M234" s="1" t="s">
        <v>58</v>
      </c>
      <c r="N234" s="1" t="s">
        <v>25</v>
      </c>
    </row>
    <row r="235" spans="1:14" x14ac:dyDescent="0.25">
      <c r="A235" s="1" t="s">
        <v>467</v>
      </c>
      <c r="B235" s="3" t="s">
        <v>468</v>
      </c>
      <c r="C235" s="1" t="s">
        <v>294</v>
      </c>
      <c r="D235" s="1" t="s">
        <v>36</v>
      </c>
      <c r="E235" s="1">
        <v>18</v>
      </c>
      <c r="F235" s="1" t="s">
        <v>20</v>
      </c>
      <c r="G235" s="1" t="s">
        <v>21</v>
      </c>
      <c r="H235" s="1" t="s">
        <v>109</v>
      </c>
      <c r="I235" s="1" t="s">
        <v>50</v>
      </c>
      <c r="J235" s="1">
        <v>4</v>
      </c>
      <c r="K235" s="1">
        <v>80</v>
      </c>
      <c r="L235" s="1">
        <v>0.05</v>
      </c>
      <c r="M235" s="1" t="s">
        <v>24</v>
      </c>
      <c r="N235" s="1" t="s">
        <v>51</v>
      </c>
    </row>
    <row r="236" spans="1:14" x14ac:dyDescent="0.25">
      <c r="A236" s="1" t="s">
        <v>469</v>
      </c>
      <c r="B236" s="3" t="s">
        <v>470</v>
      </c>
      <c r="C236" s="1" t="s">
        <v>123</v>
      </c>
      <c r="D236" s="1" t="s">
        <v>36</v>
      </c>
      <c r="E236" s="1">
        <v>29</v>
      </c>
      <c r="F236" s="1" t="s">
        <v>37</v>
      </c>
      <c r="G236" s="1" t="s">
        <v>38</v>
      </c>
      <c r="H236" s="1" t="s">
        <v>73</v>
      </c>
      <c r="I236" s="1" t="s">
        <v>69</v>
      </c>
      <c r="J236" s="1">
        <v>6</v>
      </c>
      <c r="K236" s="1">
        <v>5</v>
      </c>
      <c r="L236" s="1">
        <v>0.15</v>
      </c>
      <c r="M236" s="1" t="s">
        <v>31</v>
      </c>
      <c r="N236" s="1" t="s">
        <v>32</v>
      </c>
    </row>
    <row r="237" spans="1:14" x14ac:dyDescent="0.25">
      <c r="A237" s="1" t="s">
        <v>471</v>
      </c>
      <c r="B237" s="3" t="s">
        <v>472</v>
      </c>
      <c r="C237" s="1" t="s">
        <v>145</v>
      </c>
      <c r="D237" s="1" t="s">
        <v>19</v>
      </c>
      <c r="E237" s="1">
        <v>41</v>
      </c>
      <c r="F237" s="1" t="s">
        <v>20</v>
      </c>
      <c r="G237" s="1" t="s">
        <v>21</v>
      </c>
      <c r="H237" s="1" t="s">
        <v>109</v>
      </c>
      <c r="I237" s="1" t="s">
        <v>50</v>
      </c>
      <c r="J237" s="1">
        <v>1</v>
      </c>
      <c r="K237" s="1">
        <v>80</v>
      </c>
      <c r="L237" s="1">
        <v>0.1</v>
      </c>
      <c r="M237" s="1" t="s">
        <v>24</v>
      </c>
      <c r="N237" s="1" t="s">
        <v>32</v>
      </c>
    </row>
    <row r="238" spans="1:14" x14ac:dyDescent="0.25">
      <c r="A238" s="1" t="s">
        <v>473</v>
      </c>
      <c r="B238" s="3" t="s">
        <v>474</v>
      </c>
      <c r="C238" s="1" t="s">
        <v>350</v>
      </c>
      <c r="D238" s="1" t="s">
        <v>36</v>
      </c>
      <c r="E238" s="1">
        <v>60</v>
      </c>
      <c r="F238" s="1" t="s">
        <v>37</v>
      </c>
      <c r="G238" s="1" t="s">
        <v>38</v>
      </c>
      <c r="H238" s="1" t="s">
        <v>109</v>
      </c>
      <c r="I238" s="1" t="s">
        <v>50</v>
      </c>
      <c r="J238" s="1">
        <v>5</v>
      </c>
      <c r="K238" s="1">
        <v>80</v>
      </c>
      <c r="L238" s="1">
        <v>0.15</v>
      </c>
      <c r="M238" s="1" t="s">
        <v>31</v>
      </c>
      <c r="N238" s="1" t="s">
        <v>32</v>
      </c>
    </row>
    <row r="239" spans="1:14" x14ac:dyDescent="0.25">
      <c r="A239" s="1" t="s">
        <v>475</v>
      </c>
      <c r="B239" s="3" t="s">
        <v>253</v>
      </c>
      <c r="C239" s="1" t="s">
        <v>18</v>
      </c>
      <c r="D239" s="1" t="s">
        <v>19</v>
      </c>
      <c r="E239" s="1">
        <v>36</v>
      </c>
      <c r="F239" s="1" t="s">
        <v>20</v>
      </c>
      <c r="G239" s="1" t="s">
        <v>21</v>
      </c>
      <c r="H239" s="1" t="s">
        <v>62</v>
      </c>
      <c r="I239" s="1" t="s">
        <v>23</v>
      </c>
      <c r="J239" s="1">
        <v>6</v>
      </c>
      <c r="K239" s="1">
        <v>15</v>
      </c>
      <c r="L239" s="1">
        <v>0.1</v>
      </c>
      <c r="M239" s="1" t="s">
        <v>39</v>
      </c>
      <c r="N239" s="1" t="s">
        <v>25</v>
      </c>
    </row>
    <row r="240" spans="1:14" x14ac:dyDescent="0.25">
      <c r="A240" s="1" t="s">
        <v>476</v>
      </c>
      <c r="B240" s="3" t="s">
        <v>230</v>
      </c>
      <c r="C240" s="1" t="s">
        <v>268</v>
      </c>
      <c r="D240" s="1" t="s">
        <v>19</v>
      </c>
      <c r="E240" s="1">
        <v>58</v>
      </c>
      <c r="F240" s="1" t="s">
        <v>88</v>
      </c>
      <c r="G240" s="1" t="s">
        <v>89</v>
      </c>
      <c r="H240" s="1" t="s">
        <v>109</v>
      </c>
      <c r="I240" s="1" t="s">
        <v>50</v>
      </c>
      <c r="J240" s="1">
        <v>10</v>
      </c>
      <c r="K240" s="1">
        <v>80</v>
      </c>
      <c r="L240" s="1">
        <v>0</v>
      </c>
      <c r="M240" s="1" t="s">
        <v>39</v>
      </c>
      <c r="N240" s="1" t="s">
        <v>55</v>
      </c>
    </row>
    <row r="241" spans="1:14" x14ac:dyDescent="0.25">
      <c r="A241" s="1" t="s">
        <v>477</v>
      </c>
      <c r="B241" s="3" t="s">
        <v>344</v>
      </c>
      <c r="C241" s="1" t="s">
        <v>165</v>
      </c>
      <c r="D241" s="1" t="s">
        <v>36</v>
      </c>
      <c r="E241" s="1">
        <v>27</v>
      </c>
      <c r="F241" s="1" t="s">
        <v>43</v>
      </c>
      <c r="G241" s="1" t="s">
        <v>44</v>
      </c>
      <c r="H241" s="1" t="s">
        <v>79</v>
      </c>
      <c r="I241" s="1" t="s">
        <v>23</v>
      </c>
      <c r="J241" s="1">
        <v>7</v>
      </c>
      <c r="K241" s="1">
        <v>500</v>
      </c>
      <c r="L241" s="1">
        <v>0.05</v>
      </c>
      <c r="M241" s="1" t="s">
        <v>45</v>
      </c>
      <c r="N241" s="1" t="s">
        <v>55</v>
      </c>
    </row>
    <row r="242" spans="1:14" x14ac:dyDescent="0.25">
      <c r="A242" s="1" t="s">
        <v>478</v>
      </c>
      <c r="B242" s="3" t="s">
        <v>27</v>
      </c>
      <c r="C242" s="1" t="s">
        <v>251</v>
      </c>
      <c r="D242" s="1" t="s">
        <v>19</v>
      </c>
      <c r="E242" s="1">
        <v>50</v>
      </c>
      <c r="F242" s="1" t="s">
        <v>37</v>
      </c>
      <c r="G242" s="1" t="s">
        <v>38</v>
      </c>
      <c r="H242" s="1" t="s">
        <v>118</v>
      </c>
      <c r="I242" s="1" t="s">
        <v>23</v>
      </c>
      <c r="J242" s="1">
        <v>6</v>
      </c>
      <c r="K242" s="1">
        <v>180</v>
      </c>
      <c r="L242" s="1">
        <v>0</v>
      </c>
      <c r="M242" s="1" t="s">
        <v>45</v>
      </c>
      <c r="N242" s="1" t="s">
        <v>55</v>
      </c>
    </row>
    <row r="243" spans="1:14" x14ac:dyDescent="0.25">
      <c r="A243" s="1" t="s">
        <v>479</v>
      </c>
      <c r="B243" s="3" t="s">
        <v>57</v>
      </c>
      <c r="C243" s="1" t="s">
        <v>205</v>
      </c>
      <c r="D243" s="1" t="s">
        <v>36</v>
      </c>
      <c r="E243" s="1">
        <v>51</v>
      </c>
      <c r="F243" s="1" t="s">
        <v>88</v>
      </c>
      <c r="G243" s="1" t="s">
        <v>89</v>
      </c>
      <c r="H243" s="1" t="s">
        <v>62</v>
      </c>
      <c r="I243" s="1" t="s">
        <v>23</v>
      </c>
      <c r="J243" s="1">
        <v>3</v>
      </c>
      <c r="K243" s="1">
        <v>15</v>
      </c>
      <c r="L243" s="1">
        <v>0.05</v>
      </c>
      <c r="M243" s="1" t="s">
        <v>39</v>
      </c>
      <c r="N243" s="1" t="s">
        <v>55</v>
      </c>
    </row>
    <row r="244" spans="1:14" x14ac:dyDescent="0.25">
      <c r="A244" s="1" t="s">
        <v>480</v>
      </c>
      <c r="B244" s="3" t="s">
        <v>481</v>
      </c>
      <c r="C244" s="1" t="s">
        <v>65</v>
      </c>
      <c r="D244" s="1" t="s">
        <v>36</v>
      </c>
      <c r="E244" s="1">
        <v>47</v>
      </c>
      <c r="F244" s="1" t="s">
        <v>88</v>
      </c>
      <c r="G244" s="1" t="s">
        <v>89</v>
      </c>
      <c r="H244" s="1" t="s">
        <v>49</v>
      </c>
      <c r="I244" s="1" t="s">
        <v>50</v>
      </c>
      <c r="J244" s="1">
        <v>6</v>
      </c>
      <c r="K244" s="1">
        <v>120</v>
      </c>
      <c r="L244" s="1">
        <v>0</v>
      </c>
      <c r="M244" s="1" t="s">
        <v>39</v>
      </c>
      <c r="N244" s="1" t="s">
        <v>32</v>
      </c>
    </row>
    <row r="245" spans="1:14" x14ac:dyDescent="0.25">
      <c r="A245" s="1" t="s">
        <v>482</v>
      </c>
      <c r="B245" s="3" t="s">
        <v>41</v>
      </c>
      <c r="C245" s="1" t="s">
        <v>350</v>
      </c>
      <c r="D245" s="1" t="s">
        <v>36</v>
      </c>
      <c r="E245" s="1">
        <v>35</v>
      </c>
      <c r="F245" s="1" t="s">
        <v>43</v>
      </c>
      <c r="G245" s="1" t="s">
        <v>44</v>
      </c>
      <c r="H245" s="1" t="s">
        <v>49</v>
      </c>
      <c r="I245" s="1" t="s">
        <v>50</v>
      </c>
      <c r="J245" s="1">
        <v>8</v>
      </c>
      <c r="K245" s="1">
        <v>120</v>
      </c>
      <c r="L245" s="1">
        <v>0.15</v>
      </c>
      <c r="M245" s="1" t="s">
        <v>31</v>
      </c>
      <c r="N245" s="1" t="s">
        <v>25</v>
      </c>
    </row>
    <row r="246" spans="1:14" x14ac:dyDescent="0.25">
      <c r="A246" s="1" t="s">
        <v>483</v>
      </c>
      <c r="B246" s="3" t="s">
        <v>148</v>
      </c>
      <c r="C246" s="1" t="s">
        <v>205</v>
      </c>
      <c r="D246" s="1" t="s">
        <v>19</v>
      </c>
      <c r="E246" s="1">
        <v>49</v>
      </c>
      <c r="F246" s="1" t="s">
        <v>37</v>
      </c>
      <c r="G246" s="1" t="s">
        <v>38</v>
      </c>
      <c r="H246" s="1" t="s">
        <v>68</v>
      </c>
      <c r="I246" s="1" t="s">
        <v>69</v>
      </c>
      <c r="J246" s="1">
        <v>10</v>
      </c>
      <c r="K246" s="1">
        <v>2</v>
      </c>
      <c r="L246" s="1">
        <v>0.15</v>
      </c>
      <c r="M246" s="1" t="s">
        <v>45</v>
      </c>
      <c r="N246" s="1" t="s">
        <v>32</v>
      </c>
    </row>
    <row r="247" spans="1:14" x14ac:dyDescent="0.25">
      <c r="A247" s="1" t="s">
        <v>484</v>
      </c>
      <c r="B247" s="3" t="s">
        <v>279</v>
      </c>
      <c r="C247" s="1" t="s">
        <v>35</v>
      </c>
      <c r="D247" s="1" t="s">
        <v>19</v>
      </c>
      <c r="E247" s="1">
        <v>49</v>
      </c>
      <c r="F247" s="1" t="s">
        <v>20</v>
      </c>
      <c r="G247" s="1" t="s">
        <v>21</v>
      </c>
      <c r="H247" s="1" t="s">
        <v>22</v>
      </c>
      <c r="I247" s="1" t="s">
        <v>23</v>
      </c>
      <c r="J247" s="1">
        <v>6</v>
      </c>
      <c r="K247" s="1">
        <v>850</v>
      </c>
      <c r="L247" s="1">
        <v>0.1</v>
      </c>
      <c r="M247" s="1" t="s">
        <v>24</v>
      </c>
      <c r="N247" s="1" t="s">
        <v>25</v>
      </c>
    </row>
    <row r="248" spans="1:14" x14ac:dyDescent="0.25">
      <c r="A248" s="1" t="s">
        <v>485</v>
      </c>
      <c r="B248" s="3" t="s">
        <v>160</v>
      </c>
      <c r="C248" s="1" t="s">
        <v>123</v>
      </c>
      <c r="D248" s="1" t="s">
        <v>19</v>
      </c>
      <c r="E248" s="1">
        <v>44</v>
      </c>
      <c r="F248" s="1" t="s">
        <v>29</v>
      </c>
      <c r="G248" s="1" t="s">
        <v>30</v>
      </c>
      <c r="H248" s="1" t="s">
        <v>22</v>
      </c>
      <c r="I248" s="1" t="s">
        <v>23</v>
      </c>
      <c r="J248" s="1">
        <v>3</v>
      </c>
      <c r="K248" s="1">
        <v>850</v>
      </c>
      <c r="L248" s="1">
        <v>0.1</v>
      </c>
      <c r="M248" s="1" t="s">
        <v>31</v>
      </c>
      <c r="N248" s="1" t="s">
        <v>32</v>
      </c>
    </row>
    <row r="249" spans="1:14" x14ac:dyDescent="0.25">
      <c r="A249" s="1" t="s">
        <v>486</v>
      </c>
      <c r="B249" s="3" t="s">
        <v>417</v>
      </c>
      <c r="C249" s="1" t="s">
        <v>65</v>
      </c>
      <c r="D249" s="1" t="s">
        <v>36</v>
      </c>
      <c r="E249" s="1">
        <v>45</v>
      </c>
      <c r="F249" s="1" t="s">
        <v>43</v>
      </c>
      <c r="G249" s="1" t="s">
        <v>44</v>
      </c>
      <c r="H249" s="1" t="s">
        <v>68</v>
      </c>
      <c r="I249" s="1" t="s">
        <v>69</v>
      </c>
      <c r="J249" s="1">
        <v>9</v>
      </c>
      <c r="K249" s="1">
        <v>2</v>
      </c>
      <c r="L249" s="1">
        <v>0.15</v>
      </c>
      <c r="M249" s="1" t="s">
        <v>24</v>
      </c>
      <c r="N249" s="1" t="s">
        <v>32</v>
      </c>
    </row>
    <row r="250" spans="1:14" x14ac:dyDescent="0.25">
      <c r="A250" s="1" t="s">
        <v>487</v>
      </c>
      <c r="B250" s="3" t="s">
        <v>488</v>
      </c>
      <c r="C250" s="1" t="s">
        <v>180</v>
      </c>
      <c r="D250" s="1" t="s">
        <v>19</v>
      </c>
      <c r="E250" s="1">
        <v>20</v>
      </c>
      <c r="F250" s="1" t="s">
        <v>43</v>
      </c>
      <c r="G250" s="1" t="s">
        <v>44</v>
      </c>
      <c r="H250" s="1" t="s">
        <v>22</v>
      </c>
      <c r="I250" s="1" t="s">
        <v>23</v>
      </c>
      <c r="J250" s="1">
        <v>7</v>
      </c>
      <c r="K250" s="1">
        <v>850</v>
      </c>
      <c r="L250" s="1">
        <v>0</v>
      </c>
      <c r="M250" s="1" t="s">
        <v>58</v>
      </c>
      <c r="N250" s="1" t="s">
        <v>25</v>
      </c>
    </row>
    <row r="251" spans="1:14" x14ac:dyDescent="0.25">
      <c r="A251" s="1" t="s">
        <v>489</v>
      </c>
      <c r="B251" s="3" t="s">
        <v>107</v>
      </c>
      <c r="C251" s="1" t="s">
        <v>149</v>
      </c>
      <c r="D251" s="1" t="s">
        <v>19</v>
      </c>
      <c r="E251" s="1">
        <v>38</v>
      </c>
      <c r="F251" s="1" t="s">
        <v>43</v>
      </c>
      <c r="G251" s="1" t="s">
        <v>44</v>
      </c>
      <c r="H251" s="1" t="s">
        <v>73</v>
      </c>
      <c r="I251" s="1" t="s">
        <v>69</v>
      </c>
      <c r="J251" s="1">
        <v>5</v>
      </c>
      <c r="K251" s="1">
        <v>5</v>
      </c>
      <c r="L251" s="1">
        <v>0.1</v>
      </c>
      <c r="M251" s="1" t="s">
        <v>45</v>
      </c>
      <c r="N251" s="1" t="s">
        <v>55</v>
      </c>
    </row>
    <row r="252" spans="1:14" x14ac:dyDescent="0.25">
      <c r="A252" s="1" t="s">
        <v>490</v>
      </c>
      <c r="B252" s="3" t="s">
        <v>398</v>
      </c>
      <c r="C252" s="1" t="s">
        <v>105</v>
      </c>
      <c r="D252" s="1" t="s">
        <v>36</v>
      </c>
      <c r="E252" s="1">
        <v>40</v>
      </c>
      <c r="F252" s="1" t="s">
        <v>29</v>
      </c>
      <c r="G252" s="1" t="s">
        <v>30</v>
      </c>
      <c r="H252" s="1" t="s">
        <v>62</v>
      </c>
      <c r="I252" s="1" t="s">
        <v>23</v>
      </c>
      <c r="J252" s="1">
        <v>1</v>
      </c>
      <c r="K252" s="1">
        <v>15</v>
      </c>
      <c r="L252" s="1">
        <v>0.1</v>
      </c>
      <c r="M252" s="1" t="s">
        <v>45</v>
      </c>
      <c r="N252" s="1" t="s">
        <v>55</v>
      </c>
    </row>
    <row r="253" spans="1:14" x14ac:dyDescent="0.25">
      <c r="A253" s="1" t="s">
        <v>491</v>
      </c>
      <c r="B253" s="3" t="s">
        <v>221</v>
      </c>
      <c r="C253" s="1" t="s">
        <v>165</v>
      </c>
      <c r="D253" s="1" t="s">
        <v>36</v>
      </c>
      <c r="E253" s="1">
        <v>28</v>
      </c>
      <c r="F253" s="1" t="s">
        <v>37</v>
      </c>
      <c r="G253" s="1" t="s">
        <v>38</v>
      </c>
      <c r="H253" s="1" t="s">
        <v>118</v>
      </c>
      <c r="I253" s="1" t="s">
        <v>23</v>
      </c>
      <c r="J253" s="1">
        <v>9</v>
      </c>
      <c r="K253" s="1">
        <v>180</v>
      </c>
      <c r="L253" s="1">
        <v>0.05</v>
      </c>
      <c r="M253" s="1" t="s">
        <v>39</v>
      </c>
      <c r="N253" s="1" t="s">
        <v>25</v>
      </c>
    </row>
    <row r="254" spans="1:14" x14ac:dyDescent="0.25">
      <c r="A254" s="1" t="s">
        <v>492</v>
      </c>
      <c r="B254" s="3" t="s">
        <v>154</v>
      </c>
      <c r="C254" s="1" t="s">
        <v>114</v>
      </c>
      <c r="D254" s="1" t="s">
        <v>19</v>
      </c>
      <c r="E254" s="1">
        <v>34</v>
      </c>
      <c r="F254" s="1" t="s">
        <v>29</v>
      </c>
      <c r="G254" s="1" t="s">
        <v>30</v>
      </c>
      <c r="H254" s="1" t="s">
        <v>118</v>
      </c>
      <c r="I254" s="1" t="s">
        <v>23</v>
      </c>
      <c r="J254" s="1">
        <v>10</v>
      </c>
      <c r="K254" s="1">
        <v>180</v>
      </c>
      <c r="L254" s="1">
        <v>0.1</v>
      </c>
      <c r="M254" s="1" t="s">
        <v>45</v>
      </c>
      <c r="N254" s="1" t="s">
        <v>51</v>
      </c>
    </row>
    <row r="255" spans="1:14" x14ac:dyDescent="0.25">
      <c r="A255" s="1" t="s">
        <v>493</v>
      </c>
      <c r="B255" s="3" t="s">
        <v>248</v>
      </c>
      <c r="C255" s="1" t="s">
        <v>131</v>
      </c>
      <c r="D255" s="1" t="s">
        <v>36</v>
      </c>
      <c r="E255" s="1">
        <v>56</v>
      </c>
      <c r="F255" s="1" t="s">
        <v>37</v>
      </c>
      <c r="G255" s="1" t="s">
        <v>38</v>
      </c>
      <c r="H255" s="1" t="s">
        <v>22</v>
      </c>
      <c r="I255" s="1" t="s">
        <v>23</v>
      </c>
      <c r="J255" s="1">
        <v>1</v>
      </c>
      <c r="K255" s="1">
        <v>850</v>
      </c>
      <c r="L255" s="1">
        <v>0.1</v>
      </c>
      <c r="M255" s="1" t="s">
        <v>31</v>
      </c>
      <c r="N255" s="1" t="s">
        <v>25</v>
      </c>
    </row>
    <row r="256" spans="1:14" x14ac:dyDescent="0.25">
      <c r="A256" s="1" t="s">
        <v>494</v>
      </c>
      <c r="B256" s="3" t="s">
        <v>98</v>
      </c>
      <c r="C256" s="1" t="s">
        <v>78</v>
      </c>
      <c r="D256" s="1" t="s">
        <v>36</v>
      </c>
      <c r="E256" s="1">
        <v>32</v>
      </c>
      <c r="F256" s="1" t="s">
        <v>29</v>
      </c>
      <c r="G256" s="1" t="s">
        <v>30</v>
      </c>
      <c r="H256" s="1" t="s">
        <v>62</v>
      </c>
      <c r="I256" s="1" t="s">
        <v>23</v>
      </c>
      <c r="J256" s="1">
        <v>2</v>
      </c>
      <c r="K256" s="1">
        <v>15</v>
      </c>
      <c r="L256" s="1">
        <v>0.05</v>
      </c>
      <c r="M256" s="1" t="s">
        <v>45</v>
      </c>
      <c r="N256" s="1" t="s">
        <v>25</v>
      </c>
    </row>
    <row r="257" spans="1:14" x14ac:dyDescent="0.25">
      <c r="A257" s="1" t="s">
        <v>495</v>
      </c>
      <c r="B257" s="3" t="s">
        <v>64</v>
      </c>
      <c r="C257" s="1" t="s">
        <v>42</v>
      </c>
      <c r="D257" s="1" t="s">
        <v>19</v>
      </c>
      <c r="E257" s="1">
        <v>35</v>
      </c>
      <c r="F257" s="1" t="s">
        <v>29</v>
      </c>
      <c r="G257" s="1" t="s">
        <v>30</v>
      </c>
      <c r="H257" s="1" t="s">
        <v>62</v>
      </c>
      <c r="I257" s="1" t="s">
        <v>23</v>
      </c>
      <c r="J257" s="1">
        <v>8</v>
      </c>
      <c r="K257" s="1">
        <v>15</v>
      </c>
      <c r="L257" s="1">
        <v>0.05</v>
      </c>
      <c r="M257" s="1" t="s">
        <v>93</v>
      </c>
      <c r="N257" s="1" t="s">
        <v>55</v>
      </c>
    </row>
    <row r="258" spans="1:14" x14ac:dyDescent="0.25">
      <c r="A258" s="1" t="s">
        <v>496</v>
      </c>
      <c r="B258" s="3" t="s">
        <v>111</v>
      </c>
      <c r="C258" s="1" t="s">
        <v>294</v>
      </c>
      <c r="D258" s="1" t="s">
        <v>19</v>
      </c>
      <c r="E258" s="1">
        <v>57</v>
      </c>
      <c r="F258" s="1" t="s">
        <v>43</v>
      </c>
      <c r="G258" s="1" t="s">
        <v>44</v>
      </c>
      <c r="H258" s="1" t="s">
        <v>118</v>
      </c>
      <c r="I258" s="1" t="s">
        <v>23</v>
      </c>
      <c r="J258" s="1">
        <v>7</v>
      </c>
      <c r="K258" s="1">
        <v>180</v>
      </c>
      <c r="L258" s="1">
        <v>0.15</v>
      </c>
      <c r="M258" s="1" t="s">
        <v>93</v>
      </c>
      <c r="N258" s="1" t="s">
        <v>55</v>
      </c>
    </row>
    <row r="259" spans="1:14" x14ac:dyDescent="0.25">
      <c r="A259" s="1" t="s">
        <v>497</v>
      </c>
      <c r="B259" s="3" t="s">
        <v>17</v>
      </c>
      <c r="C259" s="1" t="s">
        <v>28</v>
      </c>
      <c r="D259" s="1" t="s">
        <v>36</v>
      </c>
      <c r="E259" s="1">
        <v>23</v>
      </c>
      <c r="F259" s="1" t="s">
        <v>43</v>
      </c>
      <c r="G259" s="1" t="s">
        <v>44</v>
      </c>
      <c r="H259" s="1" t="s">
        <v>73</v>
      </c>
      <c r="I259" s="1" t="s">
        <v>69</v>
      </c>
      <c r="J259" s="1">
        <v>9</v>
      </c>
      <c r="K259" s="1">
        <v>5</v>
      </c>
      <c r="L259" s="1">
        <v>0.1</v>
      </c>
      <c r="M259" s="1" t="s">
        <v>58</v>
      </c>
      <c r="N259" s="1" t="s">
        <v>55</v>
      </c>
    </row>
    <row r="260" spans="1:14" x14ac:dyDescent="0.25">
      <c r="A260" s="1" t="s">
        <v>498</v>
      </c>
      <c r="B260" s="3" t="s">
        <v>499</v>
      </c>
      <c r="C260" s="1" t="s">
        <v>126</v>
      </c>
      <c r="D260" s="1" t="s">
        <v>19</v>
      </c>
      <c r="E260" s="1">
        <v>51</v>
      </c>
      <c r="F260" s="1" t="s">
        <v>88</v>
      </c>
      <c r="G260" s="1" t="s">
        <v>89</v>
      </c>
      <c r="H260" s="1" t="s">
        <v>109</v>
      </c>
      <c r="I260" s="1" t="s">
        <v>50</v>
      </c>
      <c r="J260" s="1">
        <v>2</v>
      </c>
      <c r="K260" s="1">
        <v>80</v>
      </c>
      <c r="L260" s="1">
        <v>0</v>
      </c>
      <c r="M260" s="1" t="s">
        <v>24</v>
      </c>
      <c r="N260" s="1" t="s">
        <v>25</v>
      </c>
    </row>
    <row r="261" spans="1:14" x14ac:dyDescent="0.25">
      <c r="A261" s="1" t="s">
        <v>500</v>
      </c>
      <c r="B261" s="3" t="s">
        <v>199</v>
      </c>
      <c r="C261" s="1" t="s">
        <v>102</v>
      </c>
      <c r="D261" s="1" t="s">
        <v>19</v>
      </c>
      <c r="E261" s="1">
        <v>52</v>
      </c>
      <c r="F261" s="1" t="s">
        <v>88</v>
      </c>
      <c r="G261" s="1" t="s">
        <v>89</v>
      </c>
      <c r="H261" s="1" t="s">
        <v>22</v>
      </c>
      <c r="I261" s="1" t="s">
        <v>23</v>
      </c>
      <c r="J261" s="1">
        <v>5</v>
      </c>
      <c r="K261" s="1">
        <v>850</v>
      </c>
      <c r="L261" s="1">
        <v>0.05</v>
      </c>
      <c r="M261" s="1" t="s">
        <v>39</v>
      </c>
      <c r="N261" s="1" t="s">
        <v>32</v>
      </c>
    </row>
    <row r="262" spans="1:14" x14ac:dyDescent="0.25">
      <c r="A262" s="1" t="s">
        <v>501</v>
      </c>
      <c r="B262" s="3" t="s">
        <v>502</v>
      </c>
      <c r="C262" s="1" t="s">
        <v>243</v>
      </c>
      <c r="D262" s="1" t="s">
        <v>36</v>
      </c>
      <c r="E262" s="1">
        <v>46</v>
      </c>
      <c r="F262" s="1" t="s">
        <v>88</v>
      </c>
      <c r="G262" s="1" t="s">
        <v>89</v>
      </c>
      <c r="H262" s="1" t="s">
        <v>79</v>
      </c>
      <c r="I262" s="1" t="s">
        <v>23</v>
      </c>
      <c r="J262" s="1">
        <v>7</v>
      </c>
      <c r="K262" s="1">
        <v>500</v>
      </c>
      <c r="L262" s="1">
        <v>0</v>
      </c>
      <c r="M262" s="1" t="s">
        <v>39</v>
      </c>
      <c r="N262" s="1" t="s">
        <v>25</v>
      </c>
    </row>
    <row r="263" spans="1:14" x14ac:dyDescent="0.25">
      <c r="A263" s="1" t="s">
        <v>503</v>
      </c>
      <c r="B263" s="3" t="s">
        <v>225</v>
      </c>
      <c r="C263" s="1" t="s">
        <v>180</v>
      </c>
      <c r="D263" s="1" t="s">
        <v>19</v>
      </c>
      <c r="E263" s="1">
        <v>43</v>
      </c>
      <c r="F263" s="1" t="s">
        <v>88</v>
      </c>
      <c r="G263" s="1" t="s">
        <v>89</v>
      </c>
      <c r="H263" s="1" t="s">
        <v>79</v>
      </c>
      <c r="I263" s="1" t="s">
        <v>23</v>
      </c>
      <c r="J263" s="1">
        <v>6</v>
      </c>
      <c r="K263" s="1">
        <v>500</v>
      </c>
      <c r="L263" s="1">
        <v>0.1</v>
      </c>
      <c r="M263" s="1" t="s">
        <v>24</v>
      </c>
      <c r="N263" s="1" t="s">
        <v>25</v>
      </c>
    </row>
    <row r="264" spans="1:14" x14ac:dyDescent="0.25">
      <c r="A264" s="1" t="s">
        <v>504</v>
      </c>
      <c r="B264" s="3" t="s">
        <v>379</v>
      </c>
      <c r="C264" s="1" t="s">
        <v>188</v>
      </c>
      <c r="D264" s="1" t="s">
        <v>19</v>
      </c>
      <c r="E264" s="1">
        <v>47</v>
      </c>
      <c r="F264" s="1" t="s">
        <v>43</v>
      </c>
      <c r="G264" s="1" t="s">
        <v>44</v>
      </c>
      <c r="H264" s="1" t="s">
        <v>118</v>
      </c>
      <c r="I264" s="1" t="s">
        <v>23</v>
      </c>
      <c r="J264" s="1">
        <v>4</v>
      </c>
      <c r="K264" s="1">
        <v>180</v>
      </c>
      <c r="L264" s="1">
        <v>0.1</v>
      </c>
      <c r="M264" s="1" t="s">
        <v>58</v>
      </c>
      <c r="N264" s="1" t="s">
        <v>51</v>
      </c>
    </row>
    <row r="265" spans="1:14" x14ac:dyDescent="0.25">
      <c r="A265" s="1" t="s">
        <v>505</v>
      </c>
      <c r="B265" s="3" t="s">
        <v>310</v>
      </c>
      <c r="C265" s="1" t="s">
        <v>152</v>
      </c>
      <c r="D265" s="1" t="s">
        <v>36</v>
      </c>
      <c r="E265" s="1">
        <v>55</v>
      </c>
      <c r="F265" s="1" t="s">
        <v>29</v>
      </c>
      <c r="G265" s="1" t="s">
        <v>30</v>
      </c>
      <c r="H265" s="1" t="s">
        <v>79</v>
      </c>
      <c r="I265" s="1" t="s">
        <v>23</v>
      </c>
      <c r="J265" s="1">
        <v>8</v>
      </c>
      <c r="K265" s="1">
        <v>500</v>
      </c>
      <c r="L265" s="1">
        <v>0.15</v>
      </c>
      <c r="M265" s="1" t="s">
        <v>39</v>
      </c>
      <c r="N265" s="1" t="s">
        <v>25</v>
      </c>
    </row>
    <row r="266" spans="1:14" x14ac:dyDescent="0.25">
      <c r="A266" s="1" t="s">
        <v>506</v>
      </c>
      <c r="B266" s="3" t="s">
        <v>148</v>
      </c>
      <c r="C266" s="1" t="s">
        <v>102</v>
      </c>
      <c r="D266" s="1" t="s">
        <v>19</v>
      </c>
      <c r="E266" s="1">
        <v>50</v>
      </c>
      <c r="F266" s="1" t="s">
        <v>29</v>
      </c>
      <c r="G266" s="1" t="s">
        <v>30</v>
      </c>
      <c r="H266" s="1" t="s">
        <v>68</v>
      </c>
      <c r="I266" s="1" t="s">
        <v>69</v>
      </c>
      <c r="J266" s="1">
        <v>8</v>
      </c>
      <c r="K266" s="1">
        <v>2</v>
      </c>
      <c r="L266" s="1">
        <v>0.1</v>
      </c>
      <c r="M266" s="1" t="s">
        <v>93</v>
      </c>
      <c r="N266" s="1" t="s">
        <v>55</v>
      </c>
    </row>
    <row r="267" spans="1:14" x14ac:dyDescent="0.25">
      <c r="A267" s="1" t="s">
        <v>507</v>
      </c>
      <c r="B267" s="3" t="s">
        <v>71</v>
      </c>
      <c r="C267" s="1" t="s">
        <v>251</v>
      </c>
      <c r="D267" s="1" t="s">
        <v>19</v>
      </c>
      <c r="E267" s="1">
        <v>50</v>
      </c>
      <c r="F267" s="1" t="s">
        <v>37</v>
      </c>
      <c r="G267" s="1" t="s">
        <v>38</v>
      </c>
      <c r="H267" s="1" t="s">
        <v>68</v>
      </c>
      <c r="I267" s="1" t="s">
        <v>69</v>
      </c>
      <c r="J267" s="1">
        <v>8</v>
      </c>
      <c r="K267" s="1">
        <v>2</v>
      </c>
      <c r="L267" s="1">
        <v>0.05</v>
      </c>
      <c r="M267" s="1" t="s">
        <v>39</v>
      </c>
      <c r="N267" s="1" t="s">
        <v>25</v>
      </c>
    </row>
    <row r="268" spans="1:14" x14ac:dyDescent="0.25">
      <c r="A268" s="1" t="s">
        <v>508</v>
      </c>
      <c r="B268" s="3" t="s">
        <v>265</v>
      </c>
      <c r="C268" s="1" t="s">
        <v>266</v>
      </c>
      <c r="D268" s="1" t="s">
        <v>36</v>
      </c>
      <c r="E268" s="1">
        <v>29</v>
      </c>
      <c r="F268" s="1" t="s">
        <v>29</v>
      </c>
      <c r="G268" s="1" t="s">
        <v>30</v>
      </c>
      <c r="H268" s="1" t="s">
        <v>118</v>
      </c>
      <c r="I268" s="1" t="s">
        <v>23</v>
      </c>
      <c r="J268" s="1">
        <v>4</v>
      </c>
      <c r="K268" s="1">
        <v>180</v>
      </c>
      <c r="L268" s="1">
        <v>0.05</v>
      </c>
      <c r="M268" s="1" t="s">
        <v>24</v>
      </c>
      <c r="N268" s="1" t="s">
        <v>51</v>
      </c>
    </row>
    <row r="269" spans="1:14" x14ac:dyDescent="0.25">
      <c r="A269" s="1" t="s">
        <v>509</v>
      </c>
      <c r="B269" s="3" t="s">
        <v>191</v>
      </c>
      <c r="C269" s="1" t="s">
        <v>102</v>
      </c>
      <c r="D269" s="1" t="s">
        <v>19</v>
      </c>
      <c r="E269" s="1">
        <v>59</v>
      </c>
      <c r="F269" s="1" t="s">
        <v>43</v>
      </c>
      <c r="G269" s="1" t="s">
        <v>44</v>
      </c>
      <c r="H269" s="1" t="s">
        <v>79</v>
      </c>
      <c r="I269" s="1" t="s">
        <v>23</v>
      </c>
      <c r="J269" s="1">
        <v>9</v>
      </c>
      <c r="K269" s="1">
        <v>500</v>
      </c>
      <c r="L269" s="1">
        <v>0</v>
      </c>
      <c r="M269" s="1" t="s">
        <v>58</v>
      </c>
      <c r="N269" s="1" t="s">
        <v>32</v>
      </c>
    </row>
    <row r="270" spans="1:14" x14ac:dyDescent="0.25">
      <c r="A270" s="1" t="s">
        <v>510</v>
      </c>
      <c r="B270" s="3" t="s">
        <v>334</v>
      </c>
      <c r="C270" s="1" t="s">
        <v>82</v>
      </c>
      <c r="D270" s="1" t="s">
        <v>36</v>
      </c>
      <c r="E270" s="1">
        <v>47</v>
      </c>
      <c r="F270" s="1" t="s">
        <v>37</v>
      </c>
      <c r="G270" s="1" t="s">
        <v>38</v>
      </c>
      <c r="H270" s="1" t="s">
        <v>68</v>
      </c>
      <c r="I270" s="1" t="s">
        <v>69</v>
      </c>
      <c r="J270" s="1">
        <v>5</v>
      </c>
      <c r="K270" s="1">
        <v>2</v>
      </c>
      <c r="L270" s="1">
        <v>0</v>
      </c>
      <c r="M270" s="1" t="s">
        <v>31</v>
      </c>
      <c r="N270" s="1" t="s">
        <v>25</v>
      </c>
    </row>
    <row r="271" spans="1:14" x14ac:dyDescent="0.25">
      <c r="A271" s="1" t="s">
        <v>511</v>
      </c>
      <c r="B271" s="3" t="s">
        <v>148</v>
      </c>
      <c r="C271" s="1" t="s">
        <v>65</v>
      </c>
      <c r="D271" s="1" t="s">
        <v>19</v>
      </c>
      <c r="E271" s="1">
        <v>59</v>
      </c>
      <c r="F271" s="1" t="s">
        <v>88</v>
      </c>
      <c r="G271" s="1" t="s">
        <v>89</v>
      </c>
      <c r="H271" s="1" t="s">
        <v>118</v>
      </c>
      <c r="I271" s="1" t="s">
        <v>23</v>
      </c>
      <c r="J271" s="1">
        <v>7</v>
      </c>
      <c r="K271" s="1">
        <v>180</v>
      </c>
      <c r="L271" s="1">
        <v>0.05</v>
      </c>
      <c r="M271" s="1" t="s">
        <v>93</v>
      </c>
      <c r="N271" s="1" t="s">
        <v>25</v>
      </c>
    </row>
    <row r="272" spans="1:14" x14ac:dyDescent="0.25">
      <c r="A272" s="1" t="s">
        <v>512</v>
      </c>
      <c r="B272" s="3" t="s">
        <v>513</v>
      </c>
      <c r="C272" s="1" t="s">
        <v>54</v>
      </c>
      <c r="D272" s="1" t="s">
        <v>19</v>
      </c>
      <c r="E272" s="1">
        <v>30</v>
      </c>
      <c r="F272" s="1" t="s">
        <v>29</v>
      </c>
      <c r="G272" s="1" t="s">
        <v>30</v>
      </c>
      <c r="H272" s="1" t="s">
        <v>118</v>
      </c>
      <c r="I272" s="1" t="s">
        <v>23</v>
      </c>
      <c r="J272" s="1">
        <v>6</v>
      </c>
      <c r="K272" s="1">
        <v>180</v>
      </c>
      <c r="L272" s="1">
        <v>0</v>
      </c>
      <c r="M272" s="1" t="s">
        <v>24</v>
      </c>
      <c r="N272" s="1" t="s">
        <v>51</v>
      </c>
    </row>
    <row r="273" spans="1:14" x14ac:dyDescent="0.25">
      <c r="A273" s="1" t="s">
        <v>514</v>
      </c>
      <c r="B273" s="3" t="s">
        <v>57</v>
      </c>
      <c r="C273" s="1" t="s">
        <v>42</v>
      </c>
      <c r="D273" s="1" t="s">
        <v>19</v>
      </c>
      <c r="E273" s="1">
        <v>40</v>
      </c>
      <c r="F273" s="1" t="s">
        <v>20</v>
      </c>
      <c r="G273" s="1" t="s">
        <v>21</v>
      </c>
      <c r="H273" s="1" t="s">
        <v>62</v>
      </c>
      <c r="I273" s="1" t="s">
        <v>23</v>
      </c>
      <c r="J273" s="1">
        <v>9</v>
      </c>
      <c r="K273" s="1">
        <v>15</v>
      </c>
      <c r="L273" s="1">
        <v>0.1</v>
      </c>
      <c r="M273" s="1" t="s">
        <v>45</v>
      </c>
      <c r="N273" s="1" t="s">
        <v>55</v>
      </c>
    </row>
    <row r="274" spans="1:14" x14ac:dyDescent="0.25">
      <c r="A274" s="1" t="s">
        <v>515</v>
      </c>
      <c r="B274" s="3" t="s">
        <v>516</v>
      </c>
      <c r="C274" s="1" t="s">
        <v>78</v>
      </c>
      <c r="D274" s="1" t="s">
        <v>19</v>
      </c>
      <c r="E274" s="1">
        <v>32</v>
      </c>
      <c r="F274" s="1" t="s">
        <v>37</v>
      </c>
      <c r="G274" s="1" t="s">
        <v>38</v>
      </c>
      <c r="H274" s="1" t="s">
        <v>73</v>
      </c>
      <c r="I274" s="1" t="s">
        <v>69</v>
      </c>
      <c r="J274" s="1">
        <v>8</v>
      </c>
      <c r="K274" s="1">
        <v>5</v>
      </c>
      <c r="L274" s="1">
        <v>0.15</v>
      </c>
      <c r="M274" s="1" t="s">
        <v>45</v>
      </c>
      <c r="N274" s="1" t="s">
        <v>25</v>
      </c>
    </row>
    <row r="275" spans="1:14" x14ac:dyDescent="0.25">
      <c r="A275" s="1" t="s">
        <v>517</v>
      </c>
      <c r="B275" s="3" t="s">
        <v>468</v>
      </c>
      <c r="C275" s="1" t="s">
        <v>289</v>
      </c>
      <c r="D275" s="1" t="s">
        <v>19</v>
      </c>
      <c r="E275" s="1">
        <v>48</v>
      </c>
      <c r="F275" s="1" t="s">
        <v>37</v>
      </c>
      <c r="G275" s="1" t="s">
        <v>38</v>
      </c>
      <c r="H275" s="1" t="s">
        <v>109</v>
      </c>
      <c r="I275" s="1" t="s">
        <v>50</v>
      </c>
      <c r="J275" s="1">
        <v>3</v>
      </c>
      <c r="K275" s="1">
        <v>80</v>
      </c>
      <c r="L275" s="1">
        <v>0.05</v>
      </c>
      <c r="M275" s="1" t="s">
        <v>39</v>
      </c>
      <c r="N275" s="1" t="s">
        <v>32</v>
      </c>
    </row>
    <row r="276" spans="1:14" x14ac:dyDescent="0.25">
      <c r="A276" s="1" t="s">
        <v>518</v>
      </c>
      <c r="B276" s="3" t="s">
        <v>277</v>
      </c>
      <c r="C276" s="1" t="s">
        <v>256</v>
      </c>
      <c r="D276" s="1" t="s">
        <v>36</v>
      </c>
      <c r="E276" s="1">
        <v>26</v>
      </c>
      <c r="F276" s="1" t="s">
        <v>29</v>
      </c>
      <c r="G276" s="1" t="s">
        <v>30</v>
      </c>
      <c r="H276" s="1" t="s">
        <v>22</v>
      </c>
      <c r="I276" s="1" t="s">
        <v>23</v>
      </c>
      <c r="J276" s="1">
        <v>6</v>
      </c>
      <c r="K276" s="1">
        <v>850</v>
      </c>
      <c r="L276" s="1">
        <v>0.15</v>
      </c>
      <c r="M276" s="1" t="s">
        <v>39</v>
      </c>
      <c r="N276" s="1" t="s">
        <v>55</v>
      </c>
    </row>
    <row r="277" spans="1:14" x14ac:dyDescent="0.25">
      <c r="A277" s="1" t="s">
        <v>519</v>
      </c>
      <c r="B277" s="3" t="s">
        <v>248</v>
      </c>
      <c r="C277" s="1" t="s">
        <v>350</v>
      </c>
      <c r="D277" s="1" t="s">
        <v>36</v>
      </c>
      <c r="E277" s="1">
        <v>39</v>
      </c>
      <c r="F277" s="1" t="s">
        <v>37</v>
      </c>
      <c r="G277" s="1" t="s">
        <v>38</v>
      </c>
      <c r="H277" s="1" t="s">
        <v>73</v>
      </c>
      <c r="I277" s="1" t="s">
        <v>69</v>
      </c>
      <c r="J277" s="1">
        <v>8</v>
      </c>
      <c r="K277" s="1">
        <v>5</v>
      </c>
      <c r="L277" s="1">
        <v>0</v>
      </c>
      <c r="M277" s="1" t="s">
        <v>24</v>
      </c>
      <c r="N277" s="1" t="s">
        <v>25</v>
      </c>
    </row>
    <row r="278" spans="1:14" x14ac:dyDescent="0.25">
      <c r="A278" s="1" t="s">
        <v>520</v>
      </c>
      <c r="B278" s="3" t="s">
        <v>398</v>
      </c>
      <c r="C278" s="1" t="s">
        <v>268</v>
      </c>
      <c r="D278" s="1" t="s">
        <v>36</v>
      </c>
      <c r="E278" s="1">
        <v>23</v>
      </c>
      <c r="F278" s="1" t="s">
        <v>37</v>
      </c>
      <c r="G278" s="1" t="s">
        <v>38</v>
      </c>
      <c r="H278" s="1" t="s">
        <v>62</v>
      </c>
      <c r="I278" s="1" t="s">
        <v>23</v>
      </c>
      <c r="J278" s="1">
        <v>7</v>
      </c>
      <c r="K278" s="1">
        <v>15</v>
      </c>
      <c r="L278" s="1">
        <v>0.05</v>
      </c>
      <c r="M278" s="1" t="s">
        <v>45</v>
      </c>
      <c r="N278" s="1" t="s">
        <v>51</v>
      </c>
    </row>
    <row r="279" spans="1:14" x14ac:dyDescent="0.25">
      <c r="A279" s="1" t="s">
        <v>521</v>
      </c>
      <c r="B279" s="3" t="s">
        <v>265</v>
      </c>
      <c r="C279" s="1" t="s">
        <v>108</v>
      </c>
      <c r="D279" s="1" t="s">
        <v>19</v>
      </c>
      <c r="E279" s="1">
        <v>38</v>
      </c>
      <c r="F279" s="1" t="s">
        <v>29</v>
      </c>
      <c r="G279" s="1" t="s">
        <v>30</v>
      </c>
      <c r="H279" s="1" t="s">
        <v>118</v>
      </c>
      <c r="I279" s="1" t="s">
        <v>23</v>
      </c>
      <c r="J279" s="1">
        <v>3</v>
      </c>
      <c r="K279" s="1">
        <v>180</v>
      </c>
      <c r="L279" s="1">
        <v>0</v>
      </c>
      <c r="M279" s="1" t="s">
        <v>24</v>
      </c>
      <c r="N279" s="1" t="s">
        <v>55</v>
      </c>
    </row>
    <row r="280" spans="1:14" x14ac:dyDescent="0.25">
      <c r="A280" s="1" t="s">
        <v>522</v>
      </c>
      <c r="B280" s="3" t="s">
        <v>201</v>
      </c>
      <c r="C280" s="1" t="s">
        <v>28</v>
      </c>
      <c r="D280" s="1" t="s">
        <v>36</v>
      </c>
      <c r="E280" s="1">
        <v>43</v>
      </c>
      <c r="F280" s="1" t="s">
        <v>37</v>
      </c>
      <c r="G280" s="1" t="s">
        <v>38</v>
      </c>
      <c r="H280" s="1" t="s">
        <v>22</v>
      </c>
      <c r="I280" s="1" t="s">
        <v>23</v>
      </c>
      <c r="J280" s="1">
        <v>2</v>
      </c>
      <c r="K280" s="1">
        <v>850</v>
      </c>
      <c r="L280" s="1">
        <v>0.05</v>
      </c>
      <c r="M280" s="1" t="s">
        <v>93</v>
      </c>
      <c r="N280" s="1" t="s">
        <v>32</v>
      </c>
    </row>
    <row r="281" spans="1:14" x14ac:dyDescent="0.25">
      <c r="A281" s="1" t="s">
        <v>523</v>
      </c>
      <c r="B281" s="3" t="s">
        <v>427</v>
      </c>
      <c r="C281" s="1" t="s">
        <v>108</v>
      </c>
      <c r="D281" s="1" t="s">
        <v>36</v>
      </c>
      <c r="E281" s="1">
        <v>24</v>
      </c>
      <c r="F281" s="1" t="s">
        <v>88</v>
      </c>
      <c r="G281" s="1" t="s">
        <v>89</v>
      </c>
      <c r="H281" s="1" t="s">
        <v>49</v>
      </c>
      <c r="I281" s="1" t="s">
        <v>50</v>
      </c>
      <c r="J281" s="1">
        <v>1</v>
      </c>
      <c r="K281" s="1">
        <v>120</v>
      </c>
      <c r="L281" s="1">
        <v>0.05</v>
      </c>
      <c r="M281" s="1" t="s">
        <v>31</v>
      </c>
      <c r="N281" s="1" t="s">
        <v>51</v>
      </c>
    </row>
    <row r="282" spans="1:14" x14ac:dyDescent="0.25">
      <c r="A282" s="1" t="s">
        <v>524</v>
      </c>
      <c r="B282" s="3" t="s">
        <v>472</v>
      </c>
      <c r="C282" s="1" t="s">
        <v>258</v>
      </c>
      <c r="D282" s="1" t="s">
        <v>36</v>
      </c>
      <c r="E282" s="1">
        <v>36</v>
      </c>
      <c r="F282" s="1" t="s">
        <v>29</v>
      </c>
      <c r="G282" s="1" t="s">
        <v>30</v>
      </c>
      <c r="H282" s="1" t="s">
        <v>118</v>
      </c>
      <c r="I282" s="1" t="s">
        <v>23</v>
      </c>
      <c r="J282" s="1">
        <v>4</v>
      </c>
      <c r="K282" s="1">
        <v>180</v>
      </c>
      <c r="L282" s="1">
        <v>0.15</v>
      </c>
      <c r="M282" s="1" t="s">
        <v>45</v>
      </c>
      <c r="N282" s="1" t="s">
        <v>32</v>
      </c>
    </row>
    <row r="283" spans="1:14" x14ac:dyDescent="0.25">
      <c r="A283" s="1" t="s">
        <v>525</v>
      </c>
      <c r="B283" s="3" t="s">
        <v>91</v>
      </c>
      <c r="C283" s="1" t="s">
        <v>243</v>
      </c>
      <c r="D283" s="1" t="s">
        <v>36</v>
      </c>
      <c r="E283" s="1">
        <v>27</v>
      </c>
      <c r="F283" s="1" t="s">
        <v>43</v>
      </c>
      <c r="G283" s="1" t="s">
        <v>44</v>
      </c>
      <c r="H283" s="1" t="s">
        <v>49</v>
      </c>
      <c r="I283" s="1" t="s">
        <v>50</v>
      </c>
      <c r="J283" s="1">
        <v>1</v>
      </c>
      <c r="K283" s="1">
        <v>120</v>
      </c>
      <c r="L283" s="1">
        <v>0</v>
      </c>
      <c r="M283" s="1" t="s">
        <v>93</v>
      </c>
      <c r="N283" s="1" t="s">
        <v>32</v>
      </c>
    </row>
    <row r="284" spans="1:14" x14ac:dyDescent="0.25">
      <c r="A284" s="1" t="s">
        <v>526</v>
      </c>
      <c r="B284" s="3" t="s">
        <v>427</v>
      </c>
      <c r="C284" s="1" t="s">
        <v>78</v>
      </c>
      <c r="D284" s="1" t="s">
        <v>19</v>
      </c>
      <c r="E284" s="1">
        <v>31</v>
      </c>
      <c r="F284" s="1" t="s">
        <v>29</v>
      </c>
      <c r="G284" s="1" t="s">
        <v>30</v>
      </c>
      <c r="H284" s="1" t="s">
        <v>68</v>
      </c>
      <c r="I284" s="1" t="s">
        <v>69</v>
      </c>
      <c r="J284" s="1">
        <v>6</v>
      </c>
      <c r="K284" s="1">
        <v>2</v>
      </c>
      <c r="L284" s="1">
        <v>0</v>
      </c>
      <c r="M284" s="1" t="s">
        <v>58</v>
      </c>
      <c r="N284" s="1" t="s">
        <v>32</v>
      </c>
    </row>
    <row r="285" spans="1:14" x14ac:dyDescent="0.25">
      <c r="A285" s="1" t="s">
        <v>527</v>
      </c>
      <c r="B285" s="3" t="s">
        <v>312</v>
      </c>
      <c r="C285" s="1" t="s">
        <v>318</v>
      </c>
      <c r="D285" s="1" t="s">
        <v>19</v>
      </c>
      <c r="E285" s="1">
        <v>60</v>
      </c>
      <c r="F285" s="1" t="s">
        <v>37</v>
      </c>
      <c r="G285" s="1" t="s">
        <v>38</v>
      </c>
      <c r="H285" s="1" t="s">
        <v>62</v>
      </c>
      <c r="I285" s="1" t="s">
        <v>23</v>
      </c>
      <c r="J285" s="1">
        <v>8</v>
      </c>
      <c r="K285" s="1">
        <v>15</v>
      </c>
      <c r="L285" s="1">
        <v>0.1</v>
      </c>
      <c r="M285" s="1" t="s">
        <v>58</v>
      </c>
      <c r="N285" s="1" t="s">
        <v>51</v>
      </c>
    </row>
    <row r="286" spans="1:14" x14ac:dyDescent="0.25">
      <c r="A286" s="1" t="s">
        <v>528</v>
      </c>
      <c r="B286" s="3" t="s">
        <v>95</v>
      </c>
      <c r="C286" s="1" t="s">
        <v>102</v>
      </c>
      <c r="D286" s="1" t="s">
        <v>19</v>
      </c>
      <c r="E286" s="1">
        <v>54</v>
      </c>
      <c r="F286" s="1" t="s">
        <v>88</v>
      </c>
      <c r="G286" s="1" t="s">
        <v>89</v>
      </c>
      <c r="H286" s="1" t="s">
        <v>73</v>
      </c>
      <c r="I286" s="1" t="s">
        <v>69</v>
      </c>
      <c r="J286" s="1">
        <v>9</v>
      </c>
      <c r="K286" s="1">
        <v>5</v>
      </c>
      <c r="L286" s="1">
        <v>0.1</v>
      </c>
      <c r="M286" s="1" t="s">
        <v>93</v>
      </c>
      <c r="N286" s="1" t="s">
        <v>32</v>
      </c>
    </row>
    <row r="287" spans="1:14" x14ac:dyDescent="0.25">
      <c r="A287" s="1" t="s">
        <v>529</v>
      </c>
      <c r="B287" s="3" t="s">
        <v>425</v>
      </c>
      <c r="C287" s="1" t="s">
        <v>65</v>
      </c>
      <c r="D287" s="1" t="s">
        <v>36</v>
      </c>
      <c r="E287" s="1">
        <v>27</v>
      </c>
      <c r="F287" s="1" t="s">
        <v>20</v>
      </c>
      <c r="G287" s="1" t="s">
        <v>21</v>
      </c>
      <c r="H287" s="1" t="s">
        <v>73</v>
      </c>
      <c r="I287" s="1" t="s">
        <v>69</v>
      </c>
      <c r="J287" s="1">
        <v>5</v>
      </c>
      <c r="K287" s="1">
        <v>5</v>
      </c>
      <c r="L287" s="1">
        <v>0.1</v>
      </c>
      <c r="M287" s="1" t="s">
        <v>58</v>
      </c>
      <c r="N287" s="1" t="s">
        <v>51</v>
      </c>
    </row>
    <row r="288" spans="1:14" x14ac:dyDescent="0.25">
      <c r="A288" s="1" t="s">
        <v>530</v>
      </c>
      <c r="B288" s="3" t="s">
        <v>339</v>
      </c>
      <c r="C288" s="1" t="s">
        <v>350</v>
      </c>
      <c r="D288" s="1" t="s">
        <v>19</v>
      </c>
      <c r="E288" s="1">
        <v>59</v>
      </c>
      <c r="F288" s="1" t="s">
        <v>88</v>
      </c>
      <c r="G288" s="1" t="s">
        <v>89</v>
      </c>
      <c r="H288" s="1" t="s">
        <v>68</v>
      </c>
      <c r="I288" s="1" t="s">
        <v>69</v>
      </c>
      <c r="J288" s="1">
        <v>4</v>
      </c>
      <c r="K288" s="1">
        <v>2</v>
      </c>
      <c r="L288" s="1">
        <v>0</v>
      </c>
      <c r="M288" s="1" t="s">
        <v>93</v>
      </c>
      <c r="N288" s="1" t="s">
        <v>55</v>
      </c>
    </row>
    <row r="289" spans="1:14" x14ac:dyDescent="0.25">
      <c r="A289" s="1" t="s">
        <v>531</v>
      </c>
      <c r="B289" s="3" t="s">
        <v>365</v>
      </c>
      <c r="C289" s="1" t="s">
        <v>180</v>
      </c>
      <c r="D289" s="1" t="s">
        <v>36</v>
      </c>
      <c r="E289" s="1">
        <v>37</v>
      </c>
      <c r="F289" s="1" t="s">
        <v>29</v>
      </c>
      <c r="G289" s="1" t="s">
        <v>30</v>
      </c>
      <c r="H289" s="1" t="s">
        <v>79</v>
      </c>
      <c r="I289" s="1" t="s">
        <v>23</v>
      </c>
      <c r="J289" s="1">
        <v>7</v>
      </c>
      <c r="K289" s="1">
        <v>500</v>
      </c>
      <c r="L289" s="1">
        <v>0.05</v>
      </c>
      <c r="M289" s="1" t="s">
        <v>31</v>
      </c>
      <c r="N289" s="1" t="s">
        <v>51</v>
      </c>
    </row>
    <row r="290" spans="1:14" x14ac:dyDescent="0.25">
      <c r="A290" s="1" t="s">
        <v>532</v>
      </c>
      <c r="B290" s="3" t="s">
        <v>286</v>
      </c>
      <c r="C290" s="1" t="s">
        <v>108</v>
      </c>
      <c r="D290" s="1" t="s">
        <v>19</v>
      </c>
      <c r="E290" s="1">
        <v>36</v>
      </c>
      <c r="F290" s="1" t="s">
        <v>29</v>
      </c>
      <c r="G290" s="1" t="s">
        <v>30</v>
      </c>
      <c r="H290" s="1" t="s">
        <v>22</v>
      </c>
      <c r="I290" s="1" t="s">
        <v>23</v>
      </c>
      <c r="J290" s="1">
        <v>10</v>
      </c>
      <c r="K290" s="1">
        <v>850</v>
      </c>
      <c r="L290" s="1">
        <v>0.1</v>
      </c>
      <c r="M290" s="1" t="s">
        <v>93</v>
      </c>
      <c r="N290" s="1" t="s">
        <v>55</v>
      </c>
    </row>
    <row r="291" spans="1:14" x14ac:dyDescent="0.25">
      <c r="A291" s="1" t="s">
        <v>533</v>
      </c>
      <c r="B291" s="3" t="s">
        <v>162</v>
      </c>
      <c r="C291" s="1" t="s">
        <v>126</v>
      </c>
      <c r="D291" s="1" t="s">
        <v>19</v>
      </c>
      <c r="E291" s="1">
        <v>23</v>
      </c>
      <c r="F291" s="1" t="s">
        <v>43</v>
      </c>
      <c r="G291" s="1" t="s">
        <v>44</v>
      </c>
      <c r="H291" s="1" t="s">
        <v>22</v>
      </c>
      <c r="I291" s="1" t="s">
        <v>23</v>
      </c>
      <c r="J291" s="1">
        <v>10</v>
      </c>
      <c r="K291" s="1">
        <v>850</v>
      </c>
      <c r="L291" s="1">
        <v>0</v>
      </c>
      <c r="M291" s="1" t="s">
        <v>24</v>
      </c>
      <c r="N291" s="1" t="s">
        <v>51</v>
      </c>
    </row>
    <row r="292" spans="1:14" x14ac:dyDescent="0.25">
      <c r="A292" s="1" t="s">
        <v>534</v>
      </c>
      <c r="B292" s="3" t="s">
        <v>64</v>
      </c>
      <c r="C292" s="1" t="s">
        <v>108</v>
      </c>
      <c r="D292" s="1" t="s">
        <v>19</v>
      </c>
      <c r="E292" s="1">
        <v>57</v>
      </c>
      <c r="F292" s="1" t="s">
        <v>88</v>
      </c>
      <c r="G292" s="1" t="s">
        <v>89</v>
      </c>
      <c r="H292" s="1" t="s">
        <v>62</v>
      </c>
      <c r="I292" s="1" t="s">
        <v>23</v>
      </c>
      <c r="J292" s="1">
        <v>10</v>
      </c>
      <c r="K292" s="1">
        <v>15</v>
      </c>
      <c r="L292" s="1">
        <v>0</v>
      </c>
      <c r="M292" s="1" t="s">
        <v>39</v>
      </c>
      <c r="N292" s="1" t="s">
        <v>55</v>
      </c>
    </row>
    <row r="293" spans="1:14" x14ac:dyDescent="0.25">
      <c r="A293" s="1" t="s">
        <v>535</v>
      </c>
      <c r="B293" s="3" t="s">
        <v>47</v>
      </c>
      <c r="C293" s="1" t="s">
        <v>233</v>
      </c>
      <c r="D293" s="1" t="s">
        <v>36</v>
      </c>
      <c r="E293" s="1">
        <v>43</v>
      </c>
      <c r="F293" s="1" t="s">
        <v>29</v>
      </c>
      <c r="G293" s="1" t="s">
        <v>30</v>
      </c>
      <c r="H293" s="1" t="s">
        <v>22</v>
      </c>
      <c r="I293" s="1" t="s">
        <v>23</v>
      </c>
      <c r="J293" s="1">
        <v>9</v>
      </c>
      <c r="K293" s="1">
        <v>850</v>
      </c>
      <c r="L293" s="1">
        <v>0.05</v>
      </c>
      <c r="M293" s="1" t="s">
        <v>45</v>
      </c>
      <c r="N293" s="1" t="s">
        <v>51</v>
      </c>
    </row>
    <row r="294" spans="1:14" x14ac:dyDescent="0.25">
      <c r="A294" s="1" t="s">
        <v>536</v>
      </c>
      <c r="B294" s="3" t="s">
        <v>537</v>
      </c>
      <c r="C294" s="1" t="s">
        <v>182</v>
      </c>
      <c r="D294" s="1" t="s">
        <v>36</v>
      </c>
      <c r="E294" s="1">
        <v>23</v>
      </c>
      <c r="F294" s="1" t="s">
        <v>20</v>
      </c>
      <c r="G294" s="1" t="s">
        <v>21</v>
      </c>
      <c r="H294" s="1" t="s">
        <v>79</v>
      </c>
      <c r="I294" s="1" t="s">
        <v>23</v>
      </c>
      <c r="J294" s="1">
        <v>4</v>
      </c>
      <c r="K294" s="1">
        <v>500</v>
      </c>
      <c r="L294" s="1">
        <v>0.05</v>
      </c>
      <c r="M294" s="1" t="s">
        <v>24</v>
      </c>
      <c r="N294" s="1" t="s">
        <v>51</v>
      </c>
    </row>
    <row r="295" spans="1:14" x14ac:dyDescent="0.25">
      <c r="A295" s="1" t="s">
        <v>538</v>
      </c>
      <c r="B295" s="3" t="s">
        <v>191</v>
      </c>
      <c r="C295" s="1" t="s">
        <v>182</v>
      </c>
      <c r="D295" s="1" t="s">
        <v>36</v>
      </c>
      <c r="E295" s="1">
        <v>59</v>
      </c>
      <c r="F295" s="1" t="s">
        <v>37</v>
      </c>
      <c r="G295" s="1" t="s">
        <v>38</v>
      </c>
      <c r="H295" s="1" t="s">
        <v>109</v>
      </c>
      <c r="I295" s="1" t="s">
        <v>50</v>
      </c>
      <c r="J295" s="1">
        <v>8</v>
      </c>
      <c r="K295" s="1">
        <v>80</v>
      </c>
      <c r="L295" s="1">
        <v>0.05</v>
      </c>
      <c r="M295" s="1" t="s">
        <v>93</v>
      </c>
      <c r="N295" s="1" t="s">
        <v>55</v>
      </c>
    </row>
    <row r="296" spans="1:14" x14ac:dyDescent="0.25">
      <c r="A296" s="1" t="s">
        <v>539</v>
      </c>
      <c r="B296" s="3" t="s">
        <v>265</v>
      </c>
      <c r="C296" s="1" t="s">
        <v>180</v>
      </c>
      <c r="D296" s="1" t="s">
        <v>19</v>
      </c>
      <c r="E296" s="1">
        <v>45</v>
      </c>
      <c r="F296" s="1" t="s">
        <v>43</v>
      </c>
      <c r="G296" s="1" t="s">
        <v>44</v>
      </c>
      <c r="H296" s="1" t="s">
        <v>49</v>
      </c>
      <c r="I296" s="1" t="s">
        <v>50</v>
      </c>
      <c r="J296" s="1">
        <v>1</v>
      </c>
      <c r="K296" s="1">
        <v>120</v>
      </c>
      <c r="L296" s="1">
        <v>0.1</v>
      </c>
      <c r="M296" s="1" t="s">
        <v>58</v>
      </c>
      <c r="N296" s="1" t="s">
        <v>51</v>
      </c>
    </row>
    <row r="297" spans="1:14" x14ac:dyDescent="0.25">
      <c r="A297" s="1" t="s">
        <v>540</v>
      </c>
      <c r="B297" s="3" t="s">
        <v>197</v>
      </c>
      <c r="C297" s="1" t="s">
        <v>102</v>
      </c>
      <c r="D297" s="1" t="s">
        <v>36</v>
      </c>
      <c r="E297" s="1">
        <v>48</v>
      </c>
      <c r="F297" s="1" t="s">
        <v>20</v>
      </c>
      <c r="G297" s="1" t="s">
        <v>21</v>
      </c>
      <c r="H297" s="1" t="s">
        <v>49</v>
      </c>
      <c r="I297" s="1" t="s">
        <v>50</v>
      </c>
      <c r="J297" s="1">
        <v>2</v>
      </c>
      <c r="K297" s="1">
        <v>120</v>
      </c>
      <c r="L297" s="1">
        <v>0</v>
      </c>
      <c r="M297" s="1" t="s">
        <v>24</v>
      </c>
      <c r="N297" s="1" t="s">
        <v>55</v>
      </c>
    </row>
    <row r="298" spans="1:14" x14ac:dyDescent="0.25">
      <c r="A298" s="1" t="s">
        <v>541</v>
      </c>
      <c r="B298" s="3" t="s">
        <v>542</v>
      </c>
      <c r="C298" s="1" t="s">
        <v>258</v>
      </c>
      <c r="D298" s="1" t="s">
        <v>19</v>
      </c>
      <c r="E298" s="1">
        <v>51</v>
      </c>
      <c r="F298" s="1" t="s">
        <v>43</v>
      </c>
      <c r="G298" s="1" t="s">
        <v>44</v>
      </c>
      <c r="H298" s="1" t="s">
        <v>79</v>
      </c>
      <c r="I298" s="1" t="s">
        <v>23</v>
      </c>
      <c r="J298" s="1">
        <v>5</v>
      </c>
      <c r="K298" s="1">
        <v>500</v>
      </c>
      <c r="L298" s="1">
        <v>0.15</v>
      </c>
      <c r="M298" s="1" t="s">
        <v>31</v>
      </c>
      <c r="N298" s="1" t="s">
        <v>55</v>
      </c>
    </row>
    <row r="299" spans="1:14" x14ac:dyDescent="0.25">
      <c r="A299" s="1" t="s">
        <v>543</v>
      </c>
      <c r="B299" s="3" t="s">
        <v>302</v>
      </c>
      <c r="C299" s="1" t="s">
        <v>72</v>
      </c>
      <c r="D299" s="1" t="s">
        <v>19</v>
      </c>
      <c r="E299" s="1">
        <v>37</v>
      </c>
      <c r="F299" s="1" t="s">
        <v>37</v>
      </c>
      <c r="G299" s="1" t="s">
        <v>38</v>
      </c>
      <c r="H299" s="1" t="s">
        <v>73</v>
      </c>
      <c r="I299" s="1" t="s">
        <v>69</v>
      </c>
      <c r="J299" s="1">
        <v>3</v>
      </c>
      <c r="K299" s="1">
        <v>5</v>
      </c>
      <c r="L299" s="1">
        <v>0</v>
      </c>
      <c r="M299" s="1" t="s">
        <v>31</v>
      </c>
      <c r="N299" s="1" t="s">
        <v>51</v>
      </c>
    </row>
    <row r="300" spans="1:14" x14ac:dyDescent="0.25">
      <c r="A300" s="1" t="s">
        <v>544</v>
      </c>
      <c r="B300" s="3" t="s">
        <v>513</v>
      </c>
      <c r="C300" s="1" t="s">
        <v>28</v>
      </c>
      <c r="D300" s="1" t="s">
        <v>19</v>
      </c>
      <c r="E300" s="1">
        <v>58</v>
      </c>
      <c r="F300" s="1" t="s">
        <v>88</v>
      </c>
      <c r="G300" s="1" t="s">
        <v>89</v>
      </c>
      <c r="H300" s="1" t="s">
        <v>109</v>
      </c>
      <c r="I300" s="1" t="s">
        <v>50</v>
      </c>
      <c r="J300" s="1">
        <v>4</v>
      </c>
      <c r="K300" s="1">
        <v>80</v>
      </c>
      <c r="L300" s="1">
        <v>0.05</v>
      </c>
      <c r="M300" s="1" t="s">
        <v>31</v>
      </c>
      <c r="N300" s="1" t="s">
        <v>55</v>
      </c>
    </row>
    <row r="301" spans="1:14" x14ac:dyDescent="0.25">
      <c r="A301" s="1" t="s">
        <v>545</v>
      </c>
      <c r="B301" s="3" t="s">
        <v>135</v>
      </c>
      <c r="C301" s="1" t="s">
        <v>61</v>
      </c>
      <c r="D301" s="1" t="s">
        <v>36</v>
      </c>
      <c r="E301" s="1">
        <v>34</v>
      </c>
      <c r="F301" s="1" t="s">
        <v>37</v>
      </c>
      <c r="G301" s="1" t="s">
        <v>38</v>
      </c>
      <c r="H301" s="1" t="s">
        <v>118</v>
      </c>
      <c r="I301" s="1" t="s">
        <v>23</v>
      </c>
      <c r="J301" s="1">
        <v>1</v>
      </c>
      <c r="K301" s="1">
        <v>180</v>
      </c>
      <c r="L301" s="1">
        <v>0.05</v>
      </c>
      <c r="M301" s="1" t="s">
        <v>39</v>
      </c>
      <c r="N301" s="1" t="s">
        <v>25</v>
      </c>
    </row>
    <row r="302" spans="1:14" x14ac:dyDescent="0.25">
      <c r="A302" s="1" t="s">
        <v>546</v>
      </c>
      <c r="B302" s="3" t="s">
        <v>385</v>
      </c>
      <c r="C302" s="1" t="s">
        <v>54</v>
      </c>
      <c r="D302" s="1" t="s">
        <v>19</v>
      </c>
      <c r="E302" s="1">
        <v>32</v>
      </c>
      <c r="F302" s="1" t="s">
        <v>88</v>
      </c>
      <c r="G302" s="1" t="s">
        <v>89</v>
      </c>
      <c r="H302" s="1" t="s">
        <v>109</v>
      </c>
      <c r="I302" s="1" t="s">
        <v>50</v>
      </c>
      <c r="J302" s="1">
        <v>6</v>
      </c>
      <c r="K302" s="1">
        <v>80</v>
      </c>
      <c r="L302" s="1">
        <v>0.1</v>
      </c>
      <c r="M302" s="1" t="s">
        <v>58</v>
      </c>
      <c r="N302" s="1" t="s">
        <v>55</v>
      </c>
    </row>
    <row r="303" spans="1:14" x14ac:dyDescent="0.25">
      <c r="A303" s="1" t="s">
        <v>547</v>
      </c>
      <c r="B303" s="3" t="s">
        <v>328</v>
      </c>
      <c r="C303" s="1" t="s">
        <v>256</v>
      </c>
      <c r="D303" s="1" t="s">
        <v>36</v>
      </c>
      <c r="E303" s="1">
        <v>32</v>
      </c>
      <c r="F303" s="1" t="s">
        <v>29</v>
      </c>
      <c r="G303" s="1" t="s">
        <v>30</v>
      </c>
      <c r="H303" s="1" t="s">
        <v>79</v>
      </c>
      <c r="I303" s="1" t="s">
        <v>23</v>
      </c>
      <c r="J303" s="1">
        <v>7</v>
      </c>
      <c r="K303" s="1">
        <v>500</v>
      </c>
      <c r="L303" s="1">
        <v>0</v>
      </c>
      <c r="M303" s="1" t="s">
        <v>58</v>
      </c>
      <c r="N303" s="1" t="s">
        <v>32</v>
      </c>
    </row>
    <row r="304" spans="1:14" x14ac:dyDescent="0.25">
      <c r="A304" s="1" t="s">
        <v>548</v>
      </c>
      <c r="B304" s="3" t="s">
        <v>177</v>
      </c>
      <c r="C304" s="1" t="s">
        <v>131</v>
      </c>
      <c r="D304" s="1" t="s">
        <v>19</v>
      </c>
      <c r="E304" s="1">
        <v>34</v>
      </c>
      <c r="F304" s="1" t="s">
        <v>29</v>
      </c>
      <c r="G304" s="1" t="s">
        <v>30</v>
      </c>
      <c r="H304" s="1" t="s">
        <v>22</v>
      </c>
      <c r="I304" s="1" t="s">
        <v>23</v>
      </c>
      <c r="J304" s="1">
        <v>3</v>
      </c>
      <c r="K304" s="1">
        <v>850</v>
      </c>
      <c r="L304" s="1">
        <v>0.1</v>
      </c>
      <c r="M304" s="1" t="s">
        <v>58</v>
      </c>
      <c r="N304" s="1" t="s">
        <v>32</v>
      </c>
    </row>
    <row r="305" spans="1:14" x14ac:dyDescent="0.25">
      <c r="A305" s="1" t="s">
        <v>549</v>
      </c>
      <c r="B305" s="3" t="s">
        <v>286</v>
      </c>
      <c r="C305" s="1" t="s">
        <v>65</v>
      </c>
      <c r="D305" s="1" t="s">
        <v>36</v>
      </c>
      <c r="E305" s="1">
        <v>40</v>
      </c>
      <c r="F305" s="1" t="s">
        <v>20</v>
      </c>
      <c r="G305" s="1" t="s">
        <v>21</v>
      </c>
      <c r="H305" s="1" t="s">
        <v>68</v>
      </c>
      <c r="I305" s="1" t="s">
        <v>69</v>
      </c>
      <c r="J305" s="1">
        <v>7</v>
      </c>
      <c r="K305" s="1">
        <v>2</v>
      </c>
      <c r="L305" s="1">
        <v>0.1</v>
      </c>
      <c r="M305" s="1" t="s">
        <v>45</v>
      </c>
      <c r="N305" s="1" t="s">
        <v>32</v>
      </c>
    </row>
    <row r="306" spans="1:14" x14ac:dyDescent="0.25">
      <c r="A306" s="1" t="s">
        <v>550</v>
      </c>
      <c r="B306" s="3" t="s">
        <v>214</v>
      </c>
      <c r="C306" s="1" t="s">
        <v>96</v>
      </c>
      <c r="D306" s="1" t="s">
        <v>19</v>
      </c>
      <c r="E306" s="1">
        <v>19</v>
      </c>
      <c r="F306" s="1" t="s">
        <v>29</v>
      </c>
      <c r="G306" s="1" t="s">
        <v>30</v>
      </c>
      <c r="H306" s="1" t="s">
        <v>73</v>
      </c>
      <c r="I306" s="1" t="s">
        <v>69</v>
      </c>
      <c r="J306" s="1">
        <v>2</v>
      </c>
      <c r="K306" s="1">
        <v>5</v>
      </c>
      <c r="L306" s="1">
        <v>0.05</v>
      </c>
      <c r="M306" s="1" t="s">
        <v>45</v>
      </c>
      <c r="N306" s="1" t="s">
        <v>55</v>
      </c>
    </row>
    <row r="307" spans="1:14" x14ac:dyDescent="0.25">
      <c r="A307" s="1" t="s">
        <v>551</v>
      </c>
      <c r="B307" s="3" t="s">
        <v>481</v>
      </c>
      <c r="C307" s="1" t="s">
        <v>266</v>
      </c>
      <c r="D307" s="1" t="s">
        <v>36</v>
      </c>
      <c r="E307" s="1">
        <v>31</v>
      </c>
      <c r="F307" s="1" t="s">
        <v>43</v>
      </c>
      <c r="G307" s="1" t="s">
        <v>44</v>
      </c>
      <c r="H307" s="1" t="s">
        <v>22</v>
      </c>
      <c r="I307" s="1" t="s">
        <v>23</v>
      </c>
      <c r="J307" s="1">
        <v>7</v>
      </c>
      <c r="K307" s="1">
        <v>850</v>
      </c>
      <c r="L307" s="1">
        <v>0.15</v>
      </c>
      <c r="M307" s="1" t="s">
        <v>39</v>
      </c>
      <c r="N307" s="1" t="s">
        <v>25</v>
      </c>
    </row>
    <row r="308" spans="1:14" x14ac:dyDescent="0.25">
      <c r="A308" s="1" t="s">
        <v>552</v>
      </c>
      <c r="B308" s="3" t="s">
        <v>157</v>
      </c>
      <c r="C308" s="1" t="s">
        <v>145</v>
      </c>
      <c r="D308" s="1" t="s">
        <v>36</v>
      </c>
      <c r="E308" s="1">
        <v>48</v>
      </c>
      <c r="F308" s="1" t="s">
        <v>29</v>
      </c>
      <c r="G308" s="1" t="s">
        <v>30</v>
      </c>
      <c r="H308" s="1" t="s">
        <v>118</v>
      </c>
      <c r="I308" s="1" t="s">
        <v>23</v>
      </c>
      <c r="J308" s="1">
        <v>6</v>
      </c>
      <c r="K308" s="1">
        <v>180</v>
      </c>
      <c r="L308" s="1">
        <v>0</v>
      </c>
      <c r="M308" s="1" t="s">
        <v>24</v>
      </c>
      <c r="N308" s="1" t="s">
        <v>25</v>
      </c>
    </row>
    <row r="309" spans="1:14" x14ac:dyDescent="0.25">
      <c r="A309" s="1" t="s">
        <v>553</v>
      </c>
      <c r="B309" s="3" t="s">
        <v>451</v>
      </c>
      <c r="C309" s="1" t="s">
        <v>102</v>
      </c>
      <c r="D309" s="1" t="s">
        <v>36</v>
      </c>
      <c r="E309" s="1">
        <v>33</v>
      </c>
      <c r="F309" s="1" t="s">
        <v>43</v>
      </c>
      <c r="G309" s="1" t="s">
        <v>44</v>
      </c>
      <c r="H309" s="1" t="s">
        <v>109</v>
      </c>
      <c r="I309" s="1" t="s">
        <v>50</v>
      </c>
      <c r="J309" s="1">
        <v>9</v>
      </c>
      <c r="K309" s="1">
        <v>80</v>
      </c>
      <c r="L309" s="1">
        <v>0.05</v>
      </c>
      <c r="M309" s="1" t="s">
        <v>58</v>
      </c>
      <c r="N309" s="1" t="s">
        <v>25</v>
      </c>
    </row>
    <row r="310" spans="1:14" x14ac:dyDescent="0.25">
      <c r="A310" s="1" t="s">
        <v>554</v>
      </c>
      <c r="B310" s="3" t="s">
        <v>201</v>
      </c>
      <c r="C310" s="1" t="s">
        <v>165</v>
      </c>
      <c r="D310" s="1" t="s">
        <v>36</v>
      </c>
      <c r="E310" s="1">
        <v>36</v>
      </c>
      <c r="F310" s="1" t="s">
        <v>43</v>
      </c>
      <c r="G310" s="1" t="s">
        <v>44</v>
      </c>
      <c r="H310" s="1" t="s">
        <v>22</v>
      </c>
      <c r="I310" s="1" t="s">
        <v>23</v>
      </c>
      <c r="J310" s="1">
        <v>5</v>
      </c>
      <c r="K310" s="1">
        <v>850</v>
      </c>
      <c r="L310" s="1">
        <v>0</v>
      </c>
      <c r="M310" s="1" t="s">
        <v>45</v>
      </c>
      <c r="N310" s="1" t="s">
        <v>51</v>
      </c>
    </row>
    <row r="311" spans="1:14" x14ac:dyDescent="0.25">
      <c r="A311" s="1" t="s">
        <v>555</v>
      </c>
      <c r="B311" s="3" t="s">
        <v>312</v>
      </c>
      <c r="C311" s="1" t="s">
        <v>205</v>
      </c>
      <c r="D311" s="1" t="s">
        <v>36</v>
      </c>
      <c r="E311" s="1">
        <v>18</v>
      </c>
      <c r="F311" s="1" t="s">
        <v>43</v>
      </c>
      <c r="G311" s="1" t="s">
        <v>44</v>
      </c>
      <c r="H311" s="1" t="s">
        <v>68</v>
      </c>
      <c r="I311" s="1" t="s">
        <v>69</v>
      </c>
      <c r="J311" s="1">
        <v>2</v>
      </c>
      <c r="K311" s="1">
        <v>2</v>
      </c>
      <c r="L311" s="1">
        <v>0.05</v>
      </c>
      <c r="M311" s="1" t="s">
        <v>31</v>
      </c>
      <c r="N311" s="1" t="s">
        <v>25</v>
      </c>
    </row>
    <row r="312" spans="1:14" x14ac:dyDescent="0.25">
      <c r="A312" s="1" t="s">
        <v>556</v>
      </c>
      <c r="B312" s="3" t="s">
        <v>557</v>
      </c>
      <c r="C312" s="1" t="s">
        <v>256</v>
      </c>
      <c r="D312" s="1" t="s">
        <v>36</v>
      </c>
      <c r="E312" s="1">
        <v>23</v>
      </c>
      <c r="F312" s="1" t="s">
        <v>43</v>
      </c>
      <c r="G312" s="1" t="s">
        <v>44</v>
      </c>
      <c r="H312" s="1" t="s">
        <v>68</v>
      </c>
      <c r="I312" s="1" t="s">
        <v>69</v>
      </c>
      <c r="J312" s="1">
        <v>5</v>
      </c>
      <c r="K312" s="1">
        <v>2</v>
      </c>
      <c r="L312" s="1">
        <v>0</v>
      </c>
      <c r="M312" s="1" t="s">
        <v>39</v>
      </c>
      <c r="N312" s="1" t="s">
        <v>51</v>
      </c>
    </row>
    <row r="313" spans="1:14" x14ac:dyDescent="0.25">
      <c r="A313" s="1" t="s">
        <v>558</v>
      </c>
      <c r="B313" s="3" t="s">
        <v>559</v>
      </c>
      <c r="C313" s="1" t="s">
        <v>266</v>
      </c>
      <c r="D313" s="1" t="s">
        <v>19</v>
      </c>
      <c r="E313" s="1">
        <v>20</v>
      </c>
      <c r="F313" s="1" t="s">
        <v>37</v>
      </c>
      <c r="G313" s="1" t="s">
        <v>38</v>
      </c>
      <c r="H313" s="1" t="s">
        <v>73</v>
      </c>
      <c r="I313" s="1" t="s">
        <v>69</v>
      </c>
      <c r="J313" s="1">
        <v>3</v>
      </c>
      <c r="K313" s="1">
        <v>5</v>
      </c>
      <c r="L313" s="1">
        <v>0.15</v>
      </c>
      <c r="M313" s="1" t="s">
        <v>93</v>
      </c>
      <c r="N313" s="1" t="s">
        <v>25</v>
      </c>
    </row>
    <row r="314" spans="1:14" x14ac:dyDescent="0.25">
      <c r="A314" s="1" t="s">
        <v>560</v>
      </c>
      <c r="B314" s="3" t="s">
        <v>282</v>
      </c>
      <c r="C314" s="1" t="s">
        <v>65</v>
      </c>
      <c r="D314" s="1" t="s">
        <v>19</v>
      </c>
      <c r="E314" s="1">
        <v>43</v>
      </c>
      <c r="F314" s="1" t="s">
        <v>43</v>
      </c>
      <c r="G314" s="1" t="s">
        <v>44</v>
      </c>
      <c r="H314" s="1" t="s">
        <v>62</v>
      </c>
      <c r="I314" s="1" t="s">
        <v>23</v>
      </c>
      <c r="J314" s="1">
        <v>6</v>
      </c>
      <c r="K314" s="1">
        <v>15</v>
      </c>
      <c r="L314" s="1">
        <v>0.1</v>
      </c>
      <c r="M314" s="1" t="s">
        <v>39</v>
      </c>
      <c r="N314" s="1" t="s">
        <v>25</v>
      </c>
    </row>
    <row r="315" spans="1:14" x14ac:dyDescent="0.25">
      <c r="A315" s="1" t="s">
        <v>561</v>
      </c>
      <c r="B315" s="3" t="s">
        <v>219</v>
      </c>
      <c r="C315" s="1" t="s">
        <v>126</v>
      </c>
      <c r="D315" s="1" t="s">
        <v>36</v>
      </c>
      <c r="E315" s="1">
        <v>46</v>
      </c>
      <c r="F315" s="1" t="s">
        <v>20</v>
      </c>
      <c r="G315" s="1" t="s">
        <v>21</v>
      </c>
      <c r="H315" s="1" t="s">
        <v>22</v>
      </c>
      <c r="I315" s="1" t="s">
        <v>23</v>
      </c>
      <c r="J315" s="1">
        <v>5</v>
      </c>
      <c r="K315" s="1">
        <v>850</v>
      </c>
      <c r="L315" s="1">
        <v>0.15</v>
      </c>
      <c r="M315" s="1" t="s">
        <v>45</v>
      </c>
      <c r="N315" s="1" t="s">
        <v>55</v>
      </c>
    </row>
    <row r="316" spans="1:14" x14ac:dyDescent="0.25">
      <c r="A316" s="1" t="s">
        <v>562</v>
      </c>
      <c r="B316" s="3" t="s">
        <v>174</v>
      </c>
      <c r="C316" s="1" t="s">
        <v>251</v>
      </c>
      <c r="D316" s="1" t="s">
        <v>36</v>
      </c>
      <c r="E316" s="1">
        <v>50</v>
      </c>
      <c r="F316" s="1" t="s">
        <v>20</v>
      </c>
      <c r="G316" s="1" t="s">
        <v>21</v>
      </c>
      <c r="H316" s="1" t="s">
        <v>73</v>
      </c>
      <c r="I316" s="1" t="s">
        <v>69</v>
      </c>
      <c r="J316" s="1">
        <v>1</v>
      </c>
      <c r="K316" s="1">
        <v>5</v>
      </c>
      <c r="L316" s="1">
        <v>0.15</v>
      </c>
      <c r="M316" s="1" t="s">
        <v>45</v>
      </c>
      <c r="N316" s="1" t="s">
        <v>51</v>
      </c>
    </row>
    <row r="317" spans="1:14" x14ac:dyDescent="0.25">
      <c r="A317" s="1" t="s">
        <v>563</v>
      </c>
      <c r="B317" s="3" t="s">
        <v>142</v>
      </c>
      <c r="C317" s="1" t="s">
        <v>105</v>
      </c>
      <c r="D317" s="1" t="s">
        <v>19</v>
      </c>
      <c r="E317" s="1">
        <v>59</v>
      </c>
      <c r="F317" s="1" t="s">
        <v>37</v>
      </c>
      <c r="G317" s="1" t="s">
        <v>38</v>
      </c>
      <c r="H317" s="1" t="s">
        <v>79</v>
      </c>
      <c r="I317" s="1" t="s">
        <v>23</v>
      </c>
      <c r="J317" s="1">
        <v>5</v>
      </c>
      <c r="K317" s="1">
        <v>500</v>
      </c>
      <c r="L317" s="1">
        <v>0.15</v>
      </c>
      <c r="M317" s="1" t="s">
        <v>45</v>
      </c>
      <c r="N317" s="1" t="s">
        <v>55</v>
      </c>
    </row>
    <row r="318" spans="1:14" x14ac:dyDescent="0.25">
      <c r="A318" s="1" t="s">
        <v>564</v>
      </c>
      <c r="B318" s="3" t="s">
        <v>167</v>
      </c>
      <c r="C318" s="1" t="s">
        <v>114</v>
      </c>
      <c r="D318" s="1" t="s">
        <v>19</v>
      </c>
      <c r="E318" s="1">
        <v>43</v>
      </c>
      <c r="F318" s="1" t="s">
        <v>37</v>
      </c>
      <c r="G318" s="1" t="s">
        <v>38</v>
      </c>
      <c r="H318" s="1" t="s">
        <v>79</v>
      </c>
      <c r="I318" s="1" t="s">
        <v>23</v>
      </c>
      <c r="J318" s="1">
        <v>7</v>
      </c>
      <c r="K318" s="1">
        <v>500</v>
      </c>
      <c r="L318" s="1">
        <v>0.05</v>
      </c>
      <c r="M318" s="1" t="s">
        <v>24</v>
      </c>
      <c r="N318" s="1" t="s">
        <v>51</v>
      </c>
    </row>
    <row r="319" spans="1:14" x14ac:dyDescent="0.25">
      <c r="A319" s="1" t="s">
        <v>565</v>
      </c>
      <c r="B319" s="3" t="s">
        <v>566</v>
      </c>
      <c r="C319" s="1" t="s">
        <v>117</v>
      </c>
      <c r="D319" s="1" t="s">
        <v>36</v>
      </c>
      <c r="E319" s="1">
        <v>46</v>
      </c>
      <c r="F319" s="1" t="s">
        <v>88</v>
      </c>
      <c r="G319" s="1" t="s">
        <v>89</v>
      </c>
      <c r="H319" s="1" t="s">
        <v>22</v>
      </c>
      <c r="I319" s="1" t="s">
        <v>23</v>
      </c>
      <c r="J319" s="1">
        <v>3</v>
      </c>
      <c r="K319" s="1">
        <v>850</v>
      </c>
      <c r="L319" s="1">
        <v>0.05</v>
      </c>
      <c r="M319" s="1" t="s">
        <v>39</v>
      </c>
      <c r="N319" s="1" t="s">
        <v>25</v>
      </c>
    </row>
    <row r="320" spans="1:14" x14ac:dyDescent="0.25">
      <c r="A320" s="1" t="s">
        <v>567</v>
      </c>
      <c r="B320" s="3" t="s">
        <v>17</v>
      </c>
      <c r="C320" s="1" t="s">
        <v>61</v>
      </c>
      <c r="D320" s="1" t="s">
        <v>36</v>
      </c>
      <c r="E320" s="1">
        <v>34</v>
      </c>
      <c r="F320" s="1" t="s">
        <v>88</v>
      </c>
      <c r="G320" s="1" t="s">
        <v>89</v>
      </c>
      <c r="H320" s="1" t="s">
        <v>79</v>
      </c>
      <c r="I320" s="1" t="s">
        <v>23</v>
      </c>
      <c r="J320" s="1">
        <v>10</v>
      </c>
      <c r="K320" s="1">
        <v>500</v>
      </c>
      <c r="L320" s="1">
        <v>0.15</v>
      </c>
      <c r="M320" s="1" t="s">
        <v>39</v>
      </c>
      <c r="N320" s="1" t="s">
        <v>25</v>
      </c>
    </row>
    <row r="321" spans="1:14" x14ac:dyDescent="0.25">
      <c r="A321" s="1" t="s">
        <v>568</v>
      </c>
      <c r="B321" s="3" t="s">
        <v>53</v>
      </c>
      <c r="C321" s="1" t="s">
        <v>289</v>
      </c>
      <c r="D321" s="1" t="s">
        <v>36</v>
      </c>
      <c r="E321" s="1">
        <v>33</v>
      </c>
      <c r="F321" s="1" t="s">
        <v>29</v>
      </c>
      <c r="G321" s="1" t="s">
        <v>30</v>
      </c>
      <c r="H321" s="1" t="s">
        <v>49</v>
      </c>
      <c r="I321" s="1" t="s">
        <v>50</v>
      </c>
      <c r="J321" s="1">
        <v>5</v>
      </c>
      <c r="K321" s="1">
        <v>120</v>
      </c>
      <c r="L321" s="1">
        <v>0.15</v>
      </c>
      <c r="M321" s="1" t="s">
        <v>31</v>
      </c>
      <c r="N321" s="1" t="s">
        <v>51</v>
      </c>
    </row>
    <row r="322" spans="1:14" x14ac:dyDescent="0.25">
      <c r="A322" s="1" t="s">
        <v>569</v>
      </c>
      <c r="B322" s="3" t="s">
        <v>570</v>
      </c>
      <c r="C322" s="1" t="s">
        <v>243</v>
      </c>
      <c r="D322" s="1" t="s">
        <v>36</v>
      </c>
      <c r="E322" s="1">
        <v>23</v>
      </c>
      <c r="F322" s="1" t="s">
        <v>29</v>
      </c>
      <c r="G322" s="1" t="s">
        <v>30</v>
      </c>
      <c r="H322" s="1" t="s">
        <v>22</v>
      </c>
      <c r="I322" s="1" t="s">
        <v>23</v>
      </c>
      <c r="J322" s="1">
        <v>10</v>
      </c>
      <c r="K322" s="1">
        <v>850</v>
      </c>
      <c r="L322" s="1">
        <v>0.05</v>
      </c>
      <c r="M322" s="1" t="s">
        <v>39</v>
      </c>
      <c r="N322" s="1" t="s">
        <v>55</v>
      </c>
    </row>
    <row r="323" spans="1:14" x14ac:dyDescent="0.25">
      <c r="A323" s="1" t="s">
        <v>571</v>
      </c>
      <c r="B323" s="3" t="s">
        <v>572</v>
      </c>
      <c r="C323" s="1" t="s">
        <v>158</v>
      </c>
      <c r="D323" s="1" t="s">
        <v>36</v>
      </c>
      <c r="E323" s="1">
        <v>20</v>
      </c>
      <c r="F323" s="1" t="s">
        <v>20</v>
      </c>
      <c r="G323" s="1" t="s">
        <v>21</v>
      </c>
      <c r="H323" s="1" t="s">
        <v>68</v>
      </c>
      <c r="I323" s="1" t="s">
        <v>69</v>
      </c>
      <c r="J323" s="1">
        <v>8</v>
      </c>
      <c r="K323" s="1">
        <v>2</v>
      </c>
      <c r="L323" s="1">
        <v>0.05</v>
      </c>
      <c r="M323" s="1" t="s">
        <v>39</v>
      </c>
      <c r="N323" s="1" t="s">
        <v>55</v>
      </c>
    </row>
    <row r="324" spans="1:14" x14ac:dyDescent="0.25">
      <c r="A324" s="1" t="s">
        <v>573</v>
      </c>
      <c r="B324" s="3" t="s">
        <v>312</v>
      </c>
      <c r="C324" s="1" t="s">
        <v>131</v>
      </c>
      <c r="D324" s="1" t="s">
        <v>19</v>
      </c>
      <c r="E324" s="1">
        <v>58</v>
      </c>
      <c r="F324" s="1" t="s">
        <v>37</v>
      </c>
      <c r="G324" s="1" t="s">
        <v>38</v>
      </c>
      <c r="H324" s="1" t="s">
        <v>73</v>
      </c>
      <c r="I324" s="1" t="s">
        <v>69</v>
      </c>
      <c r="J324" s="1">
        <v>9</v>
      </c>
      <c r="K324" s="1">
        <v>5</v>
      </c>
      <c r="L324" s="1">
        <v>0.1</v>
      </c>
      <c r="M324" s="1" t="s">
        <v>31</v>
      </c>
      <c r="N324" s="1" t="s">
        <v>55</v>
      </c>
    </row>
    <row r="325" spans="1:14" x14ac:dyDescent="0.25">
      <c r="A325" s="1" t="s">
        <v>574</v>
      </c>
      <c r="B325" s="3" t="s">
        <v>84</v>
      </c>
      <c r="C325" s="1" t="s">
        <v>82</v>
      </c>
      <c r="D325" s="1" t="s">
        <v>36</v>
      </c>
      <c r="E325" s="1">
        <v>42</v>
      </c>
      <c r="F325" s="1" t="s">
        <v>88</v>
      </c>
      <c r="G325" s="1" t="s">
        <v>89</v>
      </c>
      <c r="H325" s="1" t="s">
        <v>22</v>
      </c>
      <c r="I325" s="1" t="s">
        <v>23</v>
      </c>
      <c r="J325" s="1">
        <v>9</v>
      </c>
      <c r="K325" s="1">
        <v>850</v>
      </c>
      <c r="L325" s="1">
        <v>0.05</v>
      </c>
      <c r="M325" s="1" t="s">
        <v>58</v>
      </c>
      <c r="N325" s="1" t="s">
        <v>51</v>
      </c>
    </row>
    <row r="326" spans="1:14" x14ac:dyDescent="0.25">
      <c r="A326" s="1" t="s">
        <v>575</v>
      </c>
      <c r="B326" s="3" t="s">
        <v>265</v>
      </c>
      <c r="C326" s="1" t="s">
        <v>240</v>
      </c>
      <c r="D326" s="1" t="s">
        <v>19</v>
      </c>
      <c r="E326" s="1">
        <v>52</v>
      </c>
      <c r="F326" s="1" t="s">
        <v>88</v>
      </c>
      <c r="G326" s="1" t="s">
        <v>89</v>
      </c>
      <c r="H326" s="1" t="s">
        <v>68</v>
      </c>
      <c r="I326" s="1" t="s">
        <v>69</v>
      </c>
      <c r="J326" s="1">
        <v>6</v>
      </c>
      <c r="K326" s="1">
        <v>2</v>
      </c>
      <c r="L326" s="1">
        <v>0.1</v>
      </c>
      <c r="M326" s="1" t="s">
        <v>58</v>
      </c>
      <c r="N326" s="1" t="s">
        <v>25</v>
      </c>
    </row>
    <row r="327" spans="1:14" x14ac:dyDescent="0.25">
      <c r="A327" s="1" t="s">
        <v>576</v>
      </c>
      <c r="B327" s="3" t="s">
        <v>279</v>
      </c>
      <c r="C327" s="1" t="s">
        <v>61</v>
      </c>
      <c r="D327" s="1" t="s">
        <v>36</v>
      </c>
      <c r="E327" s="1">
        <v>33</v>
      </c>
      <c r="F327" s="1" t="s">
        <v>20</v>
      </c>
      <c r="G327" s="1" t="s">
        <v>21</v>
      </c>
      <c r="H327" s="1" t="s">
        <v>62</v>
      </c>
      <c r="I327" s="1" t="s">
        <v>23</v>
      </c>
      <c r="J327" s="1">
        <v>4</v>
      </c>
      <c r="K327" s="1">
        <v>15</v>
      </c>
      <c r="L327" s="1">
        <v>0</v>
      </c>
      <c r="M327" s="1" t="s">
        <v>24</v>
      </c>
      <c r="N327" s="1" t="s">
        <v>55</v>
      </c>
    </row>
    <row r="328" spans="1:14" x14ac:dyDescent="0.25">
      <c r="A328" s="1" t="s">
        <v>577</v>
      </c>
      <c r="B328" s="3" t="s">
        <v>481</v>
      </c>
      <c r="C328" s="1" t="s">
        <v>48</v>
      </c>
      <c r="D328" s="1" t="s">
        <v>19</v>
      </c>
      <c r="E328" s="1">
        <v>52</v>
      </c>
      <c r="F328" s="1" t="s">
        <v>37</v>
      </c>
      <c r="G328" s="1" t="s">
        <v>38</v>
      </c>
      <c r="H328" s="1" t="s">
        <v>109</v>
      </c>
      <c r="I328" s="1" t="s">
        <v>50</v>
      </c>
      <c r="J328" s="1">
        <v>2</v>
      </c>
      <c r="K328" s="1">
        <v>80</v>
      </c>
      <c r="L328" s="1">
        <v>0.05</v>
      </c>
      <c r="M328" s="1" t="s">
        <v>39</v>
      </c>
      <c r="N328" s="1" t="s">
        <v>55</v>
      </c>
    </row>
    <row r="329" spans="1:14" x14ac:dyDescent="0.25">
      <c r="A329" s="1" t="s">
        <v>578</v>
      </c>
      <c r="B329" s="3" t="s">
        <v>579</v>
      </c>
      <c r="C329" s="1" t="s">
        <v>350</v>
      </c>
      <c r="D329" s="1" t="s">
        <v>19</v>
      </c>
      <c r="E329" s="1">
        <v>27</v>
      </c>
      <c r="F329" s="1" t="s">
        <v>37</v>
      </c>
      <c r="G329" s="1" t="s">
        <v>38</v>
      </c>
      <c r="H329" s="1" t="s">
        <v>22</v>
      </c>
      <c r="I329" s="1" t="s">
        <v>23</v>
      </c>
      <c r="J329" s="1">
        <v>6</v>
      </c>
      <c r="K329" s="1">
        <v>850</v>
      </c>
      <c r="L329" s="1">
        <v>0.15</v>
      </c>
      <c r="M329" s="1" t="s">
        <v>45</v>
      </c>
      <c r="N329" s="1" t="s">
        <v>25</v>
      </c>
    </row>
    <row r="330" spans="1:14" x14ac:dyDescent="0.25">
      <c r="A330" s="1" t="s">
        <v>580</v>
      </c>
      <c r="B330" s="3" t="s">
        <v>321</v>
      </c>
      <c r="C330" s="1" t="s">
        <v>42</v>
      </c>
      <c r="D330" s="1" t="s">
        <v>36</v>
      </c>
      <c r="E330" s="1">
        <v>38</v>
      </c>
      <c r="F330" s="1" t="s">
        <v>20</v>
      </c>
      <c r="G330" s="1" t="s">
        <v>21</v>
      </c>
      <c r="H330" s="1" t="s">
        <v>109</v>
      </c>
      <c r="I330" s="1" t="s">
        <v>50</v>
      </c>
      <c r="J330" s="1">
        <v>9</v>
      </c>
      <c r="K330" s="1">
        <v>80</v>
      </c>
      <c r="L330" s="1">
        <v>0.1</v>
      </c>
      <c r="M330" s="1" t="s">
        <v>45</v>
      </c>
      <c r="N330" s="1" t="s">
        <v>55</v>
      </c>
    </row>
    <row r="331" spans="1:14" x14ac:dyDescent="0.25">
      <c r="A331" s="1" t="s">
        <v>581</v>
      </c>
      <c r="B331" s="3" t="s">
        <v>185</v>
      </c>
      <c r="C331" s="1" t="s">
        <v>145</v>
      </c>
      <c r="D331" s="1" t="s">
        <v>36</v>
      </c>
      <c r="E331" s="1">
        <v>57</v>
      </c>
      <c r="F331" s="1" t="s">
        <v>88</v>
      </c>
      <c r="G331" s="1" t="s">
        <v>89</v>
      </c>
      <c r="H331" s="1" t="s">
        <v>49</v>
      </c>
      <c r="I331" s="1" t="s">
        <v>50</v>
      </c>
      <c r="J331" s="1">
        <v>3</v>
      </c>
      <c r="K331" s="1">
        <v>120</v>
      </c>
      <c r="L331" s="1">
        <v>0.1</v>
      </c>
      <c r="M331" s="1" t="s">
        <v>39</v>
      </c>
      <c r="N331" s="1" t="s">
        <v>25</v>
      </c>
    </row>
    <row r="332" spans="1:14" x14ac:dyDescent="0.25">
      <c r="A332" s="1" t="s">
        <v>582</v>
      </c>
      <c r="B332" s="3" t="s">
        <v>363</v>
      </c>
      <c r="C332" s="1" t="s">
        <v>126</v>
      </c>
      <c r="D332" s="1" t="s">
        <v>36</v>
      </c>
      <c r="E332" s="1">
        <v>44</v>
      </c>
      <c r="F332" s="1" t="s">
        <v>37</v>
      </c>
      <c r="G332" s="1" t="s">
        <v>38</v>
      </c>
      <c r="H332" s="1" t="s">
        <v>22</v>
      </c>
      <c r="I332" s="1" t="s">
        <v>23</v>
      </c>
      <c r="J332" s="1">
        <v>7</v>
      </c>
      <c r="K332" s="1">
        <v>850</v>
      </c>
      <c r="L332" s="1">
        <v>0</v>
      </c>
      <c r="M332" s="1" t="s">
        <v>24</v>
      </c>
      <c r="N332" s="1" t="s">
        <v>55</v>
      </c>
    </row>
    <row r="333" spans="1:14" x14ac:dyDescent="0.25">
      <c r="A333" s="1" t="s">
        <v>583</v>
      </c>
      <c r="B333" s="3" t="s">
        <v>584</v>
      </c>
      <c r="C333" s="1" t="s">
        <v>108</v>
      </c>
      <c r="D333" s="1" t="s">
        <v>19</v>
      </c>
      <c r="E333" s="1">
        <v>25</v>
      </c>
      <c r="F333" s="1" t="s">
        <v>20</v>
      </c>
      <c r="G333" s="1" t="s">
        <v>21</v>
      </c>
      <c r="H333" s="1" t="s">
        <v>73</v>
      </c>
      <c r="I333" s="1" t="s">
        <v>69</v>
      </c>
      <c r="J333" s="1">
        <v>2</v>
      </c>
      <c r="K333" s="1">
        <v>5</v>
      </c>
      <c r="L333" s="1">
        <v>0</v>
      </c>
      <c r="M333" s="1" t="s">
        <v>58</v>
      </c>
      <c r="N333" s="1" t="s">
        <v>25</v>
      </c>
    </row>
    <row r="334" spans="1:14" x14ac:dyDescent="0.25">
      <c r="A334" s="1" t="s">
        <v>585</v>
      </c>
      <c r="B334" s="3" t="s">
        <v>481</v>
      </c>
      <c r="C334" s="1" t="s">
        <v>102</v>
      </c>
      <c r="D334" s="1" t="s">
        <v>36</v>
      </c>
      <c r="E334" s="1">
        <v>59</v>
      </c>
      <c r="F334" s="1" t="s">
        <v>88</v>
      </c>
      <c r="G334" s="1" t="s">
        <v>89</v>
      </c>
      <c r="H334" s="1" t="s">
        <v>22</v>
      </c>
      <c r="I334" s="1" t="s">
        <v>23</v>
      </c>
      <c r="J334" s="1">
        <v>7</v>
      </c>
      <c r="K334" s="1">
        <v>850</v>
      </c>
      <c r="L334" s="1">
        <v>0.15</v>
      </c>
      <c r="M334" s="1" t="s">
        <v>45</v>
      </c>
      <c r="N334" s="1" t="s">
        <v>55</v>
      </c>
    </row>
    <row r="335" spans="1:14" x14ac:dyDescent="0.25">
      <c r="A335" s="1" t="s">
        <v>586</v>
      </c>
      <c r="B335" s="3" t="s">
        <v>587</v>
      </c>
      <c r="C335" s="1" t="s">
        <v>96</v>
      </c>
      <c r="D335" s="1" t="s">
        <v>19</v>
      </c>
      <c r="E335" s="1">
        <v>19</v>
      </c>
      <c r="F335" s="1" t="s">
        <v>43</v>
      </c>
      <c r="G335" s="1" t="s">
        <v>44</v>
      </c>
      <c r="H335" s="1" t="s">
        <v>109</v>
      </c>
      <c r="I335" s="1" t="s">
        <v>50</v>
      </c>
      <c r="J335" s="1">
        <v>2</v>
      </c>
      <c r="K335" s="1">
        <v>80</v>
      </c>
      <c r="L335" s="1">
        <v>0.1</v>
      </c>
      <c r="M335" s="1" t="s">
        <v>93</v>
      </c>
      <c r="N335" s="1" t="s">
        <v>55</v>
      </c>
    </row>
    <row r="336" spans="1:14" x14ac:dyDescent="0.25">
      <c r="A336" s="1" t="s">
        <v>588</v>
      </c>
      <c r="B336" s="3" t="s">
        <v>589</v>
      </c>
      <c r="C336" s="1" t="s">
        <v>165</v>
      </c>
      <c r="D336" s="1" t="s">
        <v>36</v>
      </c>
      <c r="E336" s="1">
        <v>58</v>
      </c>
      <c r="F336" s="1" t="s">
        <v>37</v>
      </c>
      <c r="G336" s="1" t="s">
        <v>38</v>
      </c>
      <c r="H336" s="1" t="s">
        <v>68</v>
      </c>
      <c r="I336" s="1" t="s">
        <v>69</v>
      </c>
      <c r="J336" s="1">
        <v>3</v>
      </c>
      <c r="K336" s="1">
        <v>2</v>
      </c>
      <c r="L336" s="1">
        <v>0</v>
      </c>
      <c r="M336" s="1" t="s">
        <v>31</v>
      </c>
      <c r="N336" s="1" t="s">
        <v>55</v>
      </c>
    </row>
    <row r="337" spans="1:14" x14ac:dyDescent="0.25">
      <c r="A337" s="1" t="s">
        <v>590</v>
      </c>
      <c r="B337" s="3" t="s">
        <v>502</v>
      </c>
      <c r="C337" s="1" t="s">
        <v>92</v>
      </c>
      <c r="D337" s="1" t="s">
        <v>36</v>
      </c>
      <c r="E337" s="1">
        <v>50</v>
      </c>
      <c r="F337" s="1" t="s">
        <v>20</v>
      </c>
      <c r="G337" s="1" t="s">
        <v>21</v>
      </c>
      <c r="H337" s="1" t="s">
        <v>62</v>
      </c>
      <c r="I337" s="1" t="s">
        <v>23</v>
      </c>
      <c r="J337" s="1">
        <v>10</v>
      </c>
      <c r="K337" s="1">
        <v>15</v>
      </c>
      <c r="L337" s="1">
        <v>0.1</v>
      </c>
      <c r="M337" s="1" t="s">
        <v>58</v>
      </c>
      <c r="N337" s="1" t="s">
        <v>51</v>
      </c>
    </row>
    <row r="338" spans="1:14" x14ac:dyDescent="0.25">
      <c r="A338" s="1" t="s">
        <v>591</v>
      </c>
      <c r="B338" s="3" t="s">
        <v>415</v>
      </c>
      <c r="C338" s="1" t="s">
        <v>72</v>
      </c>
      <c r="D338" s="1" t="s">
        <v>19</v>
      </c>
      <c r="E338" s="1">
        <v>29</v>
      </c>
      <c r="F338" s="1" t="s">
        <v>43</v>
      </c>
      <c r="G338" s="1" t="s">
        <v>44</v>
      </c>
      <c r="H338" s="1" t="s">
        <v>62</v>
      </c>
      <c r="I338" s="1" t="s">
        <v>23</v>
      </c>
      <c r="J338" s="1">
        <v>9</v>
      </c>
      <c r="K338" s="1">
        <v>15</v>
      </c>
      <c r="L338" s="1">
        <v>0.1</v>
      </c>
      <c r="M338" s="1" t="s">
        <v>39</v>
      </c>
      <c r="N338" s="1" t="s">
        <v>55</v>
      </c>
    </row>
    <row r="339" spans="1:14" x14ac:dyDescent="0.25">
      <c r="A339" s="1" t="s">
        <v>592</v>
      </c>
      <c r="B339" s="3" t="s">
        <v>286</v>
      </c>
      <c r="C339" s="1" t="s">
        <v>258</v>
      </c>
      <c r="D339" s="1" t="s">
        <v>36</v>
      </c>
      <c r="E339" s="1">
        <v>47</v>
      </c>
      <c r="F339" s="1" t="s">
        <v>37</v>
      </c>
      <c r="G339" s="1" t="s">
        <v>38</v>
      </c>
      <c r="H339" s="1" t="s">
        <v>62</v>
      </c>
      <c r="I339" s="1" t="s">
        <v>23</v>
      </c>
      <c r="J339" s="1">
        <v>3</v>
      </c>
      <c r="K339" s="1">
        <v>15</v>
      </c>
      <c r="L339" s="1">
        <v>0.05</v>
      </c>
      <c r="M339" s="1" t="s">
        <v>93</v>
      </c>
      <c r="N339" s="1" t="s">
        <v>51</v>
      </c>
    </row>
    <row r="340" spans="1:14" x14ac:dyDescent="0.25">
      <c r="A340" s="1" t="s">
        <v>593</v>
      </c>
      <c r="B340" s="3" t="s">
        <v>321</v>
      </c>
      <c r="C340" s="1" t="s">
        <v>87</v>
      </c>
      <c r="D340" s="1" t="s">
        <v>19</v>
      </c>
      <c r="E340" s="1">
        <v>36</v>
      </c>
      <c r="F340" s="1" t="s">
        <v>37</v>
      </c>
      <c r="G340" s="1" t="s">
        <v>38</v>
      </c>
      <c r="H340" s="1" t="s">
        <v>68</v>
      </c>
      <c r="I340" s="1" t="s">
        <v>69</v>
      </c>
      <c r="J340" s="1">
        <v>6</v>
      </c>
      <c r="K340" s="1">
        <v>2</v>
      </c>
      <c r="L340" s="1">
        <v>0.05</v>
      </c>
      <c r="M340" s="1" t="s">
        <v>39</v>
      </c>
      <c r="N340" s="1" t="s">
        <v>25</v>
      </c>
    </row>
    <row r="341" spans="1:14" x14ac:dyDescent="0.25">
      <c r="A341" s="1" t="s">
        <v>594</v>
      </c>
      <c r="B341" s="3" t="s">
        <v>595</v>
      </c>
      <c r="C341" s="1" t="s">
        <v>318</v>
      </c>
      <c r="D341" s="1" t="s">
        <v>19</v>
      </c>
      <c r="E341" s="1">
        <v>59</v>
      </c>
      <c r="F341" s="1" t="s">
        <v>43</v>
      </c>
      <c r="G341" s="1" t="s">
        <v>44</v>
      </c>
      <c r="H341" s="1" t="s">
        <v>62</v>
      </c>
      <c r="I341" s="1" t="s">
        <v>23</v>
      </c>
      <c r="J341" s="1">
        <v>2</v>
      </c>
      <c r="K341" s="1">
        <v>15</v>
      </c>
      <c r="L341" s="1">
        <v>0.05</v>
      </c>
      <c r="M341" s="1" t="s">
        <v>31</v>
      </c>
      <c r="N341" s="1" t="s">
        <v>25</v>
      </c>
    </row>
    <row r="342" spans="1:14" x14ac:dyDescent="0.25">
      <c r="A342" s="1" t="s">
        <v>596</v>
      </c>
      <c r="B342" s="3" t="s">
        <v>154</v>
      </c>
      <c r="C342" s="1" t="s">
        <v>65</v>
      </c>
      <c r="D342" s="1" t="s">
        <v>36</v>
      </c>
      <c r="E342" s="1">
        <v>34</v>
      </c>
      <c r="F342" s="1" t="s">
        <v>20</v>
      </c>
      <c r="G342" s="1" t="s">
        <v>21</v>
      </c>
      <c r="H342" s="1" t="s">
        <v>109</v>
      </c>
      <c r="I342" s="1" t="s">
        <v>50</v>
      </c>
      <c r="J342" s="1">
        <v>6</v>
      </c>
      <c r="K342" s="1">
        <v>80</v>
      </c>
      <c r="L342" s="1">
        <v>0.05</v>
      </c>
      <c r="M342" s="1" t="s">
        <v>93</v>
      </c>
      <c r="N342" s="1" t="s">
        <v>32</v>
      </c>
    </row>
    <row r="343" spans="1:14" x14ac:dyDescent="0.25">
      <c r="A343" s="1" t="s">
        <v>597</v>
      </c>
      <c r="B343" s="3" t="s">
        <v>448</v>
      </c>
      <c r="C343" s="1" t="s">
        <v>165</v>
      </c>
      <c r="D343" s="1" t="s">
        <v>19</v>
      </c>
      <c r="E343" s="1">
        <v>34</v>
      </c>
      <c r="F343" s="1" t="s">
        <v>88</v>
      </c>
      <c r="G343" s="1" t="s">
        <v>89</v>
      </c>
      <c r="H343" s="1" t="s">
        <v>118</v>
      </c>
      <c r="I343" s="1" t="s">
        <v>23</v>
      </c>
      <c r="J343" s="1">
        <v>6</v>
      </c>
      <c r="K343" s="1">
        <v>180</v>
      </c>
      <c r="L343" s="1">
        <v>0.1</v>
      </c>
      <c r="M343" s="1" t="s">
        <v>39</v>
      </c>
      <c r="N343" s="1" t="s">
        <v>51</v>
      </c>
    </row>
    <row r="344" spans="1:14" x14ac:dyDescent="0.25">
      <c r="A344" s="1" t="s">
        <v>598</v>
      </c>
      <c r="B344" s="3" t="s">
        <v>599</v>
      </c>
      <c r="C344" s="1" t="s">
        <v>136</v>
      </c>
      <c r="D344" s="1" t="s">
        <v>36</v>
      </c>
      <c r="E344" s="1">
        <v>56</v>
      </c>
      <c r="F344" s="1" t="s">
        <v>20</v>
      </c>
      <c r="G344" s="1" t="s">
        <v>21</v>
      </c>
      <c r="H344" s="1" t="s">
        <v>68</v>
      </c>
      <c r="I344" s="1" t="s">
        <v>69</v>
      </c>
      <c r="J344" s="1">
        <v>1</v>
      </c>
      <c r="K344" s="1">
        <v>2</v>
      </c>
      <c r="L344" s="1">
        <v>0</v>
      </c>
      <c r="M344" s="1" t="s">
        <v>93</v>
      </c>
      <c r="N344" s="1" t="s">
        <v>25</v>
      </c>
    </row>
    <row r="345" spans="1:14" x14ac:dyDescent="0.25">
      <c r="A345" s="1" t="s">
        <v>600</v>
      </c>
      <c r="B345" s="3" t="s">
        <v>286</v>
      </c>
      <c r="C345" s="1" t="s">
        <v>108</v>
      </c>
      <c r="D345" s="1" t="s">
        <v>19</v>
      </c>
      <c r="E345" s="1">
        <v>52</v>
      </c>
      <c r="F345" s="1" t="s">
        <v>37</v>
      </c>
      <c r="G345" s="1" t="s">
        <v>38</v>
      </c>
      <c r="H345" s="1" t="s">
        <v>68</v>
      </c>
      <c r="I345" s="1" t="s">
        <v>69</v>
      </c>
      <c r="J345" s="1">
        <v>8</v>
      </c>
      <c r="K345" s="1">
        <v>2</v>
      </c>
      <c r="L345" s="1">
        <v>0.1</v>
      </c>
      <c r="M345" s="1" t="s">
        <v>31</v>
      </c>
      <c r="N345" s="1" t="s">
        <v>25</v>
      </c>
    </row>
    <row r="346" spans="1:14" x14ac:dyDescent="0.25">
      <c r="A346" s="1" t="s">
        <v>601</v>
      </c>
      <c r="B346" s="3" t="s">
        <v>334</v>
      </c>
      <c r="C346" s="1" t="s">
        <v>123</v>
      </c>
      <c r="D346" s="1" t="s">
        <v>19</v>
      </c>
      <c r="E346" s="1">
        <v>50</v>
      </c>
      <c r="F346" s="1" t="s">
        <v>20</v>
      </c>
      <c r="G346" s="1" t="s">
        <v>21</v>
      </c>
      <c r="H346" s="1" t="s">
        <v>22</v>
      </c>
      <c r="I346" s="1" t="s">
        <v>23</v>
      </c>
      <c r="J346" s="1">
        <v>6</v>
      </c>
      <c r="K346" s="1">
        <v>850</v>
      </c>
      <c r="L346" s="1">
        <v>0.1</v>
      </c>
      <c r="M346" s="1" t="s">
        <v>39</v>
      </c>
      <c r="N346" s="1" t="s">
        <v>55</v>
      </c>
    </row>
    <row r="347" spans="1:14" x14ac:dyDescent="0.25">
      <c r="A347" s="1" t="s">
        <v>602</v>
      </c>
      <c r="B347" s="3" t="s">
        <v>41</v>
      </c>
      <c r="C347" s="1" t="s">
        <v>65</v>
      </c>
      <c r="D347" s="1" t="s">
        <v>19</v>
      </c>
      <c r="E347" s="1">
        <v>24</v>
      </c>
      <c r="F347" s="1" t="s">
        <v>29</v>
      </c>
      <c r="G347" s="1" t="s">
        <v>30</v>
      </c>
      <c r="H347" s="1" t="s">
        <v>118</v>
      </c>
      <c r="I347" s="1" t="s">
        <v>23</v>
      </c>
      <c r="J347" s="1">
        <v>6</v>
      </c>
      <c r="K347" s="1">
        <v>180</v>
      </c>
      <c r="L347" s="1">
        <v>0.1</v>
      </c>
      <c r="M347" s="1" t="s">
        <v>39</v>
      </c>
      <c r="N347" s="1" t="s">
        <v>55</v>
      </c>
    </row>
    <row r="348" spans="1:14" x14ac:dyDescent="0.25">
      <c r="A348" s="1" t="s">
        <v>603</v>
      </c>
      <c r="B348" s="3" t="s">
        <v>91</v>
      </c>
      <c r="C348" s="1" t="s">
        <v>240</v>
      </c>
      <c r="D348" s="1" t="s">
        <v>36</v>
      </c>
      <c r="E348" s="1">
        <v>51</v>
      </c>
      <c r="F348" s="1" t="s">
        <v>29</v>
      </c>
      <c r="G348" s="1" t="s">
        <v>30</v>
      </c>
      <c r="H348" s="1" t="s">
        <v>49</v>
      </c>
      <c r="I348" s="1" t="s">
        <v>50</v>
      </c>
      <c r="J348" s="1">
        <v>7</v>
      </c>
      <c r="K348" s="1">
        <v>120</v>
      </c>
      <c r="L348" s="1">
        <v>0.05</v>
      </c>
      <c r="M348" s="1" t="s">
        <v>31</v>
      </c>
      <c r="N348" s="1" t="s">
        <v>55</v>
      </c>
    </row>
    <row r="349" spans="1:14" x14ac:dyDescent="0.25">
      <c r="A349" s="1" t="s">
        <v>604</v>
      </c>
      <c r="B349" s="3" t="s">
        <v>579</v>
      </c>
      <c r="C349" s="1" t="s">
        <v>126</v>
      </c>
      <c r="D349" s="1" t="s">
        <v>36</v>
      </c>
      <c r="E349" s="1">
        <v>25</v>
      </c>
      <c r="F349" s="1" t="s">
        <v>20</v>
      </c>
      <c r="G349" s="1" t="s">
        <v>21</v>
      </c>
      <c r="H349" s="1" t="s">
        <v>73</v>
      </c>
      <c r="I349" s="1" t="s">
        <v>69</v>
      </c>
      <c r="J349" s="1">
        <v>1</v>
      </c>
      <c r="K349" s="1">
        <v>5</v>
      </c>
      <c r="L349" s="1">
        <v>0.1</v>
      </c>
      <c r="M349" s="1" t="s">
        <v>24</v>
      </c>
      <c r="N349" s="1" t="s">
        <v>51</v>
      </c>
    </row>
    <row r="350" spans="1:14" x14ac:dyDescent="0.25">
      <c r="A350" s="1" t="s">
        <v>605</v>
      </c>
      <c r="B350" s="3" t="s">
        <v>64</v>
      </c>
      <c r="C350" s="1" t="s">
        <v>18</v>
      </c>
      <c r="D350" s="1" t="s">
        <v>19</v>
      </c>
      <c r="E350" s="1">
        <v>39</v>
      </c>
      <c r="F350" s="1" t="s">
        <v>37</v>
      </c>
      <c r="G350" s="1" t="s">
        <v>38</v>
      </c>
      <c r="H350" s="1" t="s">
        <v>79</v>
      </c>
      <c r="I350" s="1" t="s">
        <v>23</v>
      </c>
      <c r="J350" s="1">
        <v>8</v>
      </c>
      <c r="K350" s="1">
        <v>500</v>
      </c>
      <c r="L350" s="1">
        <v>0.15</v>
      </c>
      <c r="M350" s="1" t="s">
        <v>58</v>
      </c>
      <c r="N350" s="1" t="s">
        <v>32</v>
      </c>
    </row>
    <row r="351" spans="1:14" x14ac:dyDescent="0.25">
      <c r="A351" s="1" t="s">
        <v>606</v>
      </c>
      <c r="B351" s="3" t="s">
        <v>328</v>
      </c>
      <c r="C351" s="1" t="s">
        <v>188</v>
      </c>
      <c r="D351" s="1" t="s">
        <v>36</v>
      </c>
      <c r="E351" s="1">
        <v>19</v>
      </c>
      <c r="F351" s="1" t="s">
        <v>20</v>
      </c>
      <c r="G351" s="1" t="s">
        <v>21</v>
      </c>
      <c r="H351" s="1" t="s">
        <v>68</v>
      </c>
      <c r="I351" s="1" t="s">
        <v>69</v>
      </c>
      <c r="J351" s="1">
        <v>7</v>
      </c>
      <c r="K351" s="1">
        <v>2</v>
      </c>
      <c r="L351" s="1">
        <v>0.05</v>
      </c>
      <c r="M351" s="1" t="s">
        <v>93</v>
      </c>
      <c r="N351" s="1" t="s">
        <v>25</v>
      </c>
    </row>
    <row r="352" spans="1:14" x14ac:dyDescent="0.25">
      <c r="A352" s="1" t="s">
        <v>607</v>
      </c>
      <c r="B352" s="3" t="s">
        <v>128</v>
      </c>
      <c r="C352" s="1" t="s">
        <v>268</v>
      </c>
      <c r="D352" s="1" t="s">
        <v>19</v>
      </c>
      <c r="E352" s="1">
        <v>36</v>
      </c>
      <c r="F352" s="1" t="s">
        <v>43</v>
      </c>
      <c r="G352" s="1" t="s">
        <v>44</v>
      </c>
      <c r="H352" s="1" t="s">
        <v>118</v>
      </c>
      <c r="I352" s="1" t="s">
        <v>23</v>
      </c>
      <c r="J352" s="1">
        <v>6</v>
      </c>
      <c r="K352" s="1">
        <v>180</v>
      </c>
      <c r="L352" s="1">
        <v>0.05</v>
      </c>
      <c r="M352" s="1" t="s">
        <v>45</v>
      </c>
      <c r="N352" s="1" t="s">
        <v>32</v>
      </c>
    </row>
    <row r="353" spans="1:14" x14ac:dyDescent="0.25">
      <c r="A353" s="1" t="s">
        <v>608</v>
      </c>
      <c r="B353" s="3" t="s">
        <v>225</v>
      </c>
      <c r="C353" s="1" t="s">
        <v>108</v>
      </c>
      <c r="D353" s="1" t="s">
        <v>19</v>
      </c>
      <c r="E353" s="1">
        <v>59</v>
      </c>
      <c r="F353" s="1" t="s">
        <v>43</v>
      </c>
      <c r="G353" s="1" t="s">
        <v>44</v>
      </c>
      <c r="H353" s="1" t="s">
        <v>49</v>
      </c>
      <c r="I353" s="1" t="s">
        <v>50</v>
      </c>
      <c r="J353" s="1">
        <v>3</v>
      </c>
      <c r="K353" s="1">
        <v>120</v>
      </c>
      <c r="L353" s="1">
        <v>0</v>
      </c>
      <c r="M353" s="1" t="s">
        <v>39</v>
      </c>
      <c r="N353" s="1" t="s">
        <v>32</v>
      </c>
    </row>
    <row r="354" spans="1:14" x14ac:dyDescent="0.25">
      <c r="A354" s="1" t="s">
        <v>609</v>
      </c>
      <c r="B354" s="3" t="s">
        <v>197</v>
      </c>
      <c r="C354" s="1" t="s">
        <v>223</v>
      </c>
      <c r="D354" s="1" t="s">
        <v>36</v>
      </c>
      <c r="E354" s="1">
        <v>37</v>
      </c>
      <c r="F354" s="1" t="s">
        <v>88</v>
      </c>
      <c r="G354" s="1" t="s">
        <v>89</v>
      </c>
      <c r="H354" s="1" t="s">
        <v>68</v>
      </c>
      <c r="I354" s="1" t="s">
        <v>69</v>
      </c>
      <c r="J354" s="1">
        <v>5</v>
      </c>
      <c r="K354" s="1">
        <v>2</v>
      </c>
      <c r="L354" s="1">
        <v>0.15</v>
      </c>
      <c r="M354" s="1" t="s">
        <v>58</v>
      </c>
      <c r="N354" s="1" t="s">
        <v>51</v>
      </c>
    </row>
    <row r="355" spans="1:14" x14ac:dyDescent="0.25">
      <c r="A355" s="1" t="s">
        <v>610</v>
      </c>
      <c r="B355" s="3" t="s">
        <v>589</v>
      </c>
      <c r="C355" s="1" t="s">
        <v>268</v>
      </c>
      <c r="D355" s="1" t="s">
        <v>36</v>
      </c>
      <c r="E355" s="1">
        <v>48</v>
      </c>
      <c r="F355" s="1" t="s">
        <v>43</v>
      </c>
      <c r="G355" s="1" t="s">
        <v>44</v>
      </c>
      <c r="H355" s="1" t="s">
        <v>79</v>
      </c>
      <c r="I355" s="1" t="s">
        <v>23</v>
      </c>
      <c r="J355" s="1">
        <v>4</v>
      </c>
      <c r="K355" s="1">
        <v>500</v>
      </c>
      <c r="L355" s="1">
        <v>0.1</v>
      </c>
      <c r="M355" s="1" t="s">
        <v>39</v>
      </c>
      <c r="N355" s="1" t="s">
        <v>32</v>
      </c>
    </row>
    <row r="356" spans="1:14" x14ac:dyDescent="0.25">
      <c r="A356" s="1" t="s">
        <v>611</v>
      </c>
      <c r="B356" s="3" t="s">
        <v>377</v>
      </c>
      <c r="C356" s="1" t="s">
        <v>145</v>
      </c>
      <c r="D356" s="1" t="s">
        <v>19</v>
      </c>
      <c r="E356" s="1">
        <v>37</v>
      </c>
      <c r="F356" s="1" t="s">
        <v>37</v>
      </c>
      <c r="G356" s="1" t="s">
        <v>38</v>
      </c>
      <c r="H356" s="1" t="s">
        <v>118</v>
      </c>
      <c r="I356" s="1" t="s">
        <v>23</v>
      </c>
      <c r="J356" s="1">
        <v>6</v>
      </c>
      <c r="K356" s="1">
        <v>180</v>
      </c>
      <c r="L356" s="1">
        <v>0.05</v>
      </c>
      <c r="M356" s="1" t="s">
        <v>93</v>
      </c>
      <c r="N356" s="1" t="s">
        <v>32</v>
      </c>
    </row>
    <row r="357" spans="1:14" x14ac:dyDescent="0.25">
      <c r="A357" s="1" t="s">
        <v>612</v>
      </c>
      <c r="B357" s="3" t="s">
        <v>613</v>
      </c>
      <c r="C357" s="1" t="s">
        <v>123</v>
      </c>
      <c r="D357" s="1" t="s">
        <v>19</v>
      </c>
      <c r="E357" s="1">
        <v>28</v>
      </c>
      <c r="F357" s="1" t="s">
        <v>37</v>
      </c>
      <c r="G357" s="1" t="s">
        <v>38</v>
      </c>
      <c r="H357" s="1" t="s">
        <v>49</v>
      </c>
      <c r="I357" s="1" t="s">
        <v>50</v>
      </c>
      <c r="J357" s="1">
        <v>7</v>
      </c>
      <c r="K357" s="1">
        <v>120</v>
      </c>
      <c r="L357" s="1">
        <v>0.05</v>
      </c>
      <c r="M357" s="1" t="s">
        <v>39</v>
      </c>
      <c r="N357" s="1" t="s">
        <v>32</v>
      </c>
    </row>
    <row r="358" spans="1:14" x14ac:dyDescent="0.25">
      <c r="A358" s="1" t="s">
        <v>614</v>
      </c>
      <c r="B358" s="3" t="s">
        <v>615</v>
      </c>
      <c r="C358" s="1" t="s">
        <v>61</v>
      </c>
      <c r="D358" s="1" t="s">
        <v>19</v>
      </c>
      <c r="E358" s="1">
        <v>32</v>
      </c>
      <c r="F358" s="1" t="s">
        <v>37</v>
      </c>
      <c r="G358" s="1" t="s">
        <v>38</v>
      </c>
      <c r="H358" s="1" t="s">
        <v>62</v>
      </c>
      <c r="I358" s="1" t="s">
        <v>23</v>
      </c>
      <c r="J358" s="1">
        <v>6</v>
      </c>
      <c r="K358" s="1">
        <v>15</v>
      </c>
      <c r="L358" s="1">
        <v>0</v>
      </c>
      <c r="M358" s="1" t="s">
        <v>93</v>
      </c>
      <c r="N358" s="1" t="s">
        <v>55</v>
      </c>
    </row>
    <row r="359" spans="1:14" x14ac:dyDescent="0.25">
      <c r="A359" s="1" t="s">
        <v>616</v>
      </c>
      <c r="B359" s="3" t="s">
        <v>27</v>
      </c>
      <c r="C359" s="1" t="s">
        <v>251</v>
      </c>
      <c r="D359" s="1" t="s">
        <v>36</v>
      </c>
      <c r="E359" s="1">
        <v>56</v>
      </c>
      <c r="F359" s="1" t="s">
        <v>37</v>
      </c>
      <c r="G359" s="1" t="s">
        <v>38</v>
      </c>
      <c r="H359" s="1" t="s">
        <v>62</v>
      </c>
      <c r="I359" s="1" t="s">
        <v>23</v>
      </c>
      <c r="J359" s="1">
        <v>6</v>
      </c>
      <c r="K359" s="1">
        <v>15</v>
      </c>
      <c r="L359" s="1">
        <v>0.05</v>
      </c>
      <c r="M359" s="1" t="s">
        <v>31</v>
      </c>
      <c r="N359" s="1" t="s">
        <v>32</v>
      </c>
    </row>
    <row r="360" spans="1:14" x14ac:dyDescent="0.25">
      <c r="A360" s="1" t="s">
        <v>617</v>
      </c>
      <c r="B360" s="3" t="s">
        <v>113</v>
      </c>
      <c r="C360" s="1" t="s">
        <v>65</v>
      </c>
      <c r="D360" s="1" t="s">
        <v>19</v>
      </c>
      <c r="E360" s="1">
        <v>57</v>
      </c>
      <c r="F360" s="1" t="s">
        <v>43</v>
      </c>
      <c r="G360" s="1" t="s">
        <v>44</v>
      </c>
      <c r="H360" s="1" t="s">
        <v>68</v>
      </c>
      <c r="I360" s="1" t="s">
        <v>69</v>
      </c>
      <c r="J360" s="1">
        <v>9</v>
      </c>
      <c r="K360" s="1">
        <v>2</v>
      </c>
      <c r="L360" s="1">
        <v>0.1</v>
      </c>
      <c r="M360" s="1" t="s">
        <v>45</v>
      </c>
      <c r="N360" s="1" t="s">
        <v>25</v>
      </c>
    </row>
    <row r="361" spans="1:14" x14ac:dyDescent="0.25">
      <c r="A361" s="1" t="s">
        <v>618</v>
      </c>
      <c r="B361" s="3" t="s">
        <v>138</v>
      </c>
      <c r="C361" s="1" t="s">
        <v>350</v>
      </c>
      <c r="D361" s="1" t="s">
        <v>19</v>
      </c>
      <c r="E361" s="1">
        <v>51</v>
      </c>
      <c r="F361" s="1" t="s">
        <v>88</v>
      </c>
      <c r="G361" s="1" t="s">
        <v>89</v>
      </c>
      <c r="H361" s="1" t="s">
        <v>68</v>
      </c>
      <c r="I361" s="1" t="s">
        <v>69</v>
      </c>
      <c r="J361" s="1">
        <v>4</v>
      </c>
      <c r="K361" s="1">
        <v>2</v>
      </c>
      <c r="L361" s="1">
        <v>0</v>
      </c>
      <c r="M361" s="1" t="s">
        <v>45</v>
      </c>
      <c r="N361" s="1" t="s">
        <v>51</v>
      </c>
    </row>
    <row r="362" spans="1:14" x14ac:dyDescent="0.25">
      <c r="A362" s="1" t="s">
        <v>619</v>
      </c>
      <c r="B362" s="3" t="s">
        <v>81</v>
      </c>
      <c r="C362" s="1" t="s">
        <v>114</v>
      </c>
      <c r="D362" s="1" t="s">
        <v>36</v>
      </c>
      <c r="E362" s="1">
        <v>29</v>
      </c>
      <c r="F362" s="1" t="s">
        <v>20</v>
      </c>
      <c r="G362" s="1" t="s">
        <v>21</v>
      </c>
      <c r="H362" s="1" t="s">
        <v>79</v>
      </c>
      <c r="I362" s="1" t="s">
        <v>23</v>
      </c>
      <c r="J362" s="1">
        <v>7</v>
      </c>
      <c r="K362" s="1">
        <v>500</v>
      </c>
      <c r="L362" s="1">
        <v>0.15</v>
      </c>
      <c r="M362" s="1" t="s">
        <v>45</v>
      </c>
      <c r="N362" s="1" t="s">
        <v>32</v>
      </c>
    </row>
    <row r="363" spans="1:14" x14ac:dyDescent="0.25">
      <c r="A363" s="1" t="s">
        <v>620</v>
      </c>
      <c r="B363" s="3" t="s">
        <v>314</v>
      </c>
      <c r="C363" s="1" t="s">
        <v>114</v>
      </c>
      <c r="D363" s="1" t="s">
        <v>19</v>
      </c>
      <c r="E363" s="1">
        <v>22</v>
      </c>
      <c r="F363" s="1" t="s">
        <v>20</v>
      </c>
      <c r="G363" s="1" t="s">
        <v>21</v>
      </c>
      <c r="H363" s="1" t="s">
        <v>49</v>
      </c>
      <c r="I363" s="1" t="s">
        <v>50</v>
      </c>
      <c r="J363" s="1">
        <v>9</v>
      </c>
      <c r="K363" s="1">
        <v>120</v>
      </c>
      <c r="L363" s="1">
        <v>0</v>
      </c>
      <c r="M363" s="1" t="s">
        <v>39</v>
      </c>
      <c r="N363" s="1" t="s">
        <v>25</v>
      </c>
    </row>
    <row r="364" spans="1:14" x14ac:dyDescent="0.25">
      <c r="A364" s="1" t="s">
        <v>621</v>
      </c>
      <c r="B364" s="3" t="s">
        <v>307</v>
      </c>
      <c r="C364" s="1" t="s">
        <v>35</v>
      </c>
      <c r="D364" s="1" t="s">
        <v>19</v>
      </c>
      <c r="E364" s="1">
        <v>30</v>
      </c>
      <c r="F364" s="1" t="s">
        <v>37</v>
      </c>
      <c r="G364" s="1" t="s">
        <v>38</v>
      </c>
      <c r="H364" s="1" t="s">
        <v>68</v>
      </c>
      <c r="I364" s="1" t="s">
        <v>69</v>
      </c>
      <c r="J364" s="1">
        <v>9</v>
      </c>
      <c r="K364" s="1">
        <v>2</v>
      </c>
      <c r="L364" s="1">
        <v>0.05</v>
      </c>
      <c r="M364" s="1" t="s">
        <v>45</v>
      </c>
      <c r="N364" s="1" t="s">
        <v>51</v>
      </c>
    </row>
    <row r="365" spans="1:14" x14ac:dyDescent="0.25">
      <c r="A365" s="1" t="s">
        <v>622</v>
      </c>
      <c r="B365" s="3" t="s">
        <v>623</v>
      </c>
      <c r="C365" s="1" t="s">
        <v>182</v>
      </c>
      <c r="D365" s="1" t="s">
        <v>19</v>
      </c>
      <c r="E365" s="1">
        <v>30</v>
      </c>
      <c r="F365" s="1" t="s">
        <v>20</v>
      </c>
      <c r="G365" s="1" t="s">
        <v>21</v>
      </c>
      <c r="H365" s="1" t="s">
        <v>73</v>
      </c>
      <c r="I365" s="1" t="s">
        <v>69</v>
      </c>
      <c r="J365" s="1">
        <v>1</v>
      </c>
      <c r="K365" s="1">
        <v>5</v>
      </c>
      <c r="L365" s="1">
        <v>0</v>
      </c>
      <c r="M365" s="1" t="s">
        <v>39</v>
      </c>
      <c r="N365" s="1" t="s">
        <v>32</v>
      </c>
    </row>
    <row r="366" spans="1:14" x14ac:dyDescent="0.25">
      <c r="A366" s="1" t="s">
        <v>624</v>
      </c>
      <c r="B366" s="3" t="s">
        <v>113</v>
      </c>
      <c r="C366" s="1" t="s">
        <v>182</v>
      </c>
      <c r="D366" s="1" t="s">
        <v>36</v>
      </c>
      <c r="E366" s="1">
        <v>18</v>
      </c>
      <c r="F366" s="1" t="s">
        <v>29</v>
      </c>
      <c r="G366" s="1" t="s">
        <v>30</v>
      </c>
      <c r="H366" s="1" t="s">
        <v>118</v>
      </c>
      <c r="I366" s="1" t="s">
        <v>23</v>
      </c>
      <c r="J366" s="1">
        <v>6</v>
      </c>
      <c r="K366" s="1">
        <v>180</v>
      </c>
      <c r="L366" s="1">
        <v>0</v>
      </c>
      <c r="M366" s="1" t="s">
        <v>31</v>
      </c>
      <c r="N366" s="1" t="s">
        <v>32</v>
      </c>
    </row>
    <row r="367" spans="1:14" x14ac:dyDescent="0.25">
      <c r="A367" s="1" t="s">
        <v>625</v>
      </c>
      <c r="B367" s="3" t="s">
        <v>170</v>
      </c>
      <c r="C367" s="1" t="s">
        <v>268</v>
      </c>
      <c r="D367" s="1" t="s">
        <v>36</v>
      </c>
      <c r="E367" s="1">
        <v>37</v>
      </c>
      <c r="F367" s="1" t="s">
        <v>29</v>
      </c>
      <c r="G367" s="1" t="s">
        <v>30</v>
      </c>
      <c r="H367" s="1" t="s">
        <v>118</v>
      </c>
      <c r="I367" s="1" t="s">
        <v>23</v>
      </c>
      <c r="J367" s="1">
        <v>7</v>
      </c>
      <c r="K367" s="1">
        <v>180</v>
      </c>
      <c r="L367" s="1">
        <v>0.05</v>
      </c>
      <c r="M367" s="1" t="s">
        <v>45</v>
      </c>
      <c r="N367" s="1" t="s">
        <v>25</v>
      </c>
    </row>
    <row r="368" spans="1:14" x14ac:dyDescent="0.25">
      <c r="A368" s="1" t="s">
        <v>626</v>
      </c>
      <c r="B368" s="3" t="s">
        <v>354</v>
      </c>
      <c r="C368" s="1" t="s">
        <v>123</v>
      </c>
      <c r="D368" s="1" t="s">
        <v>36</v>
      </c>
      <c r="E368" s="1">
        <v>37</v>
      </c>
      <c r="F368" s="1" t="s">
        <v>43</v>
      </c>
      <c r="G368" s="1" t="s">
        <v>44</v>
      </c>
      <c r="H368" s="1" t="s">
        <v>22</v>
      </c>
      <c r="I368" s="1" t="s">
        <v>23</v>
      </c>
      <c r="J368" s="1">
        <v>5</v>
      </c>
      <c r="K368" s="1">
        <v>850</v>
      </c>
      <c r="L368" s="1">
        <v>0.05</v>
      </c>
      <c r="M368" s="1" t="s">
        <v>45</v>
      </c>
      <c r="N368" s="1" t="s">
        <v>51</v>
      </c>
    </row>
    <row r="369" spans="1:14" x14ac:dyDescent="0.25">
      <c r="A369" s="1" t="s">
        <v>627</v>
      </c>
      <c r="B369" s="3" t="s">
        <v>235</v>
      </c>
      <c r="C369" s="1" t="s">
        <v>251</v>
      </c>
      <c r="D369" s="1" t="s">
        <v>19</v>
      </c>
      <c r="E369" s="1">
        <v>19</v>
      </c>
      <c r="F369" s="1" t="s">
        <v>37</v>
      </c>
      <c r="G369" s="1" t="s">
        <v>38</v>
      </c>
      <c r="H369" s="1" t="s">
        <v>79</v>
      </c>
      <c r="I369" s="1" t="s">
        <v>23</v>
      </c>
      <c r="J369" s="1">
        <v>10</v>
      </c>
      <c r="K369" s="1">
        <v>500</v>
      </c>
      <c r="L369" s="1">
        <v>0.15</v>
      </c>
      <c r="M369" s="1" t="s">
        <v>93</v>
      </c>
      <c r="N369" s="1" t="s">
        <v>51</v>
      </c>
    </row>
    <row r="370" spans="1:14" x14ac:dyDescent="0.25">
      <c r="A370" s="1" t="s">
        <v>628</v>
      </c>
      <c r="B370" s="3" t="s">
        <v>151</v>
      </c>
      <c r="C370" s="1" t="s">
        <v>42</v>
      </c>
      <c r="D370" s="1" t="s">
        <v>19</v>
      </c>
      <c r="E370" s="1">
        <v>21</v>
      </c>
      <c r="F370" s="1" t="s">
        <v>43</v>
      </c>
      <c r="G370" s="1" t="s">
        <v>44</v>
      </c>
      <c r="H370" s="1" t="s">
        <v>79</v>
      </c>
      <c r="I370" s="1" t="s">
        <v>23</v>
      </c>
      <c r="J370" s="1">
        <v>5</v>
      </c>
      <c r="K370" s="1">
        <v>500</v>
      </c>
      <c r="L370" s="1">
        <v>0.15</v>
      </c>
      <c r="M370" s="1" t="s">
        <v>39</v>
      </c>
      <c r="N370" s="1" t="s">
        <v>51</v>
      </c>
    </row>
    <row r="371" spans="1:14" x14ac:dyDescent="0.25">
      <c r="A371" s="1" t="s">
        <v>629</v>
      </c>
      <c r="B371" s="3" t="s">
        <v>77</v>
      </c>
      <c r="C371" s="1" t="s">
        <v>82</v>
      </c>
      <c r="D371" s="1" t="s">
        <v>36</v>
      </c>
      <c r="E371" s="1">
        <v>40</v>
      </c>
      <c r="F371" s="1" t="s">
        <v>29</v>
      </c>
      <c r="G371" s="1" t="s">
        <v>30</v>
      </c>
      <c r="H371" s="1" t="s">
        <v>73</v>
      </c>
      <c r="I371" s="1" t="s">
        <v>69</v>
      </c>
      <c r="J371" s="1">
        <v>1</v>
      </c>
      <c r="K371" s="1">
        <v>5</v>
      </c>
      <c r="L371" s="1">
        <v>0</v>
      </c>
      <c r="M371" s="1" t="s">
        <v>24</v>
      </c>
      <c r="N371" s="1" t="s">
        <v>55</v>
      </c>
    </row>
    <row r="372" spans="1:14" x14ac:dyDescent="0.25">
      <c r="A372" s="1" t="s">
        <v>630</v>
      </c>
      <c r="B372" s="3" t="s">
        <v>344</v>
      </c>
      <c r="C372" s="1" t="s">
        <v>72</v>
      </c>
      <c r="D372" s="1" t="s">
        <v>36</v>
      </c>
      <c r="E372" s="1">
        <v>20</v>
      </c>
      <c r="F372" s="1" t="s">
        <v>88</v>
      </c>
      <c r="G372" s="1" t="s">
        <v>89</v>
      </c>
      <c r="H372" s="1" t="s">
        <v>68</v>
      </c>
      <c r="I372" s="1" t="s">
        <v>69</v>
      </c>
      <c r="J372" s="1">
        <v>7</v>
      </c>
      <c r="K372" s="1">
        <v>2</v>
      </c>
      <c r="L372" s="1">
        <v>0</v>
      </c>
      <c r="M372" s="1" t="s">
        <v>58</v>
      </c>
      <c r="N372" s="1" t="s">
        <v>32</v>
      </c>
    </row>
    <row r="373" spans="1:14" x14ac:dyDescent="0.25">
      <c r="A373" s="1" t="s">
        <v>631</v>
      </c>
      <c r="B373" s="3" t="s">
        <v>579</v>
      </c>
      <c r="C373" s="1" t="s">
        <v>82</v>
      </c>
      <c r="D373" s="1" t="s">
        <v>19</v>
      </c>
      <c r="E373" s="1">
        <v>30</v>
      </c>
      <c r="F373" s="1" t="s">
        <v>43</v>
      </c>
      <c r="G373" s="1" t="s">
        <v>44</v>
      </c>
      <c r="H373" s="1" t="s">
        <v>79</v>
      </c>
      <c r="I373" s="1" t="s">
        <v>23</v>
      </c>
      <c r="J373" s="1">
        <v>3</v>
      </c>
      <c r="K373" s="1">
        <v>500</v>
      </c>
      <c r="L373" s="1">
        <v>0</v>
      </c>
      <c r="M373" s="1" t="s">
        <v>45</v>
      </c>
      <c r="N373" s="1" t="s">
        <v>25</v>
      </c>
    </row>
    <row r="374" spans="1:14" x14ac:dyDescent="0.25">
      <c r="A374" s="1" t="s">
        <v>632</v>
      </c>
      <c r="B374" s="3" t="s">
        <v>373</v>
      </c>
      <c r="C374" s="1" t="s">
        <v>126</v>
      </c>
      <c r="D374" s="1" t="s">
        <v>19</v>
      </c>
      <c r="E374" s="1">
        <v>31</v>
      </c>
      <c r="F374" s="1" t="s">
        <v>29</v>
      </c>
      <c r="G374" s="1" t="s">
        <v>30</v>
      </c>
      <c r="H374" s="1" t="s">
        <v>79</v>
      </c>
      <c r="I374" s="1" t="s">
        <v>23</v>
      </c>
      <c r="J374" s="1">
        <v>10</v>
      </c>
      <c r="K374" s="1">
        <v>500</v>
      </c>
      <c r="L374" s="1">
        <v>0</v>
      </c>
      <c r="M374" s="1" t="s">
        <v>58</v>
      </c>
      <c r="N374" s="1" t="s">
        <v>55</v>
      </c>
    </row>
    <row r="375" spans="1:14" x14ac:dyDescent="0.25">
      <c r="A375" s="1" t="s">
        <v>633</v>
      </c>
      <c r="B375" s="3" t="s">
        <v>365</v>
      </c>
      <c r="C375" s="1" t="s">
        <v>136</v>
      </c>
      <c r="D375" s="1" t="s">
        <v>36</v>
      </c>
      <c r="E375" s="1">
        <v>39</v>
      </c>
      <c r="F375" s="1" t="s">
        <v>37</v>
      </c>
      <c r="G375" s="1" t="s">
        <v>38</v>
      </c>
      <c r="H375" s="1" t="s">
        <v>62</v>
      </c>
      <c r="I375" s="1" t="s">
        <v>23</v>
      </c>
      <c r="J375" s="1">
        <v>3</v>
      </c>
      <c r="K375" s="1">
        <v>15</v>
      </c>
      <c r="L375" s="1">
        <v>0.05</v>
      </c>
      <c r="M375" s="1" t="s">
        <v>93</v>
      </c>
      <c r="N375" s="1" t="s">
        <v>51</v>
      </c>
    </row>
    <row r="376" spans="1:14" x14ac:dyDescent="0.25">
      <c r="A376" s="1" t="s">
        <v>634</v>
      </c>
      <c r="B376" s="3" t="s">
        <v>157</v>
      </c>
      <c r="C376" s="1" t="s">
        <v>123</v>
      </c>
      <c r="D376" s="1" t="s">
        <v>19</v>
      </c>
      <c r="E376" s="1">
        <v>18</v>
      </c>
      <c r="F376" s="1" t="s">
        <v>29</v>
      </c>
      <c r="G376" s="1" t="s">
        <v>30</v>
      </c>
      <c r="H376" s="1" t="s">
        <v>68</v>
      </c>
      <c r="I376" s="1" t="s">
        <v>69</v>
      </c>
      <c r="J376" s="1">
        <v>5</v>
      </c>
      <c r="K376" s="1">
        <v>2</v>
      </c>
      <c r="L376" s="1">
        <v>0.1</v>
      </c>
      <c r="M376" s="1" t="s">
        <v>93</v>
      </c>
      <c r="N376" s="1" t="s">
        <v>32</v>
      </c>
    </row>
    <row r="377" spans="1:14" x14ac:dyDescent="0.25">
      <c r="A377" s="1" t="s">
        <v>635</v>
      </c>
      <c r="B377" s="3" t="s">
        <v>375</v>
      </c>
      <c r="C377" s="1" t="s">
        <v>223</v>
      </c>
      <c r="D377" s="1" t="s">
        <v>36</v>
      </c>
      <c r="E377" s="1">
        <v>29</v>
      </c>
      <c r="F377" s="1" t="s">
        <v>88</v>
      </c>
      <c r="G377" s="1" t="s">
        <v>89</v>
      </c>
      <c r="H377" s="1" t="s">
        <v>118</v>
      </c>
      <c r="I377" s="1" t="s">
        <v>23</v>
      </c>
      <c r="J377" s="1">
        <v>8</v>
      </c>
      <c r="K377" s="1">
        <v>180</v>
      </c>
      <c r="L377" s="1">
        <v>0</v>
      </c>
      <c r="M377" s="1" t="s">
        <v>24</v>
      </c>
      <c r="N377" s="1" t="s">
        <v>25</v>
      </c>
    </row>
    <row r="378" spans="1:14" x14ac:dyDescent="0.25">
      <c r="A378" s="1" t="s">
        <v>636</v>
      </c>
      <c r="B378" s="3" t="s">
        <v>637</v>
      </c>
      <c r="C378" s="1" t="s">
        <v>78</v>
      </c>
      <c r="D378" s="1" t="s">
        <v>36</v>
      </c>
      <c r="E378" s="1">
        <v>18</v>
      </c>
      <c r="F378" s="1" t="s">
        <v>43</v>
      </c>
      <c r="G378" s="1" t="s">
        <v>44</v>
      </c>
      <c r="H378" s="1" t="s">
        <v>62</v>
      </c>
      <c r="I378" s="1" t="s">
        <v>23</v>
      </c>
      <c r="J378" s="1">
        <v>9</v>
      </c>
      <c r="K378" s="1">
        <v>15</v>
      </c>
      <c r="L378" s="1">
        <v>0.05</v>
      </c>
      <c r="M378" s="1" t="s">
        <v>45</v>
      </c>
      <c r="N378" s="1" t="s">
        <v>55</v>
      </c>
    </row>
    <row r="379" spans="1:14" x14ac:dyDescent="0.25">
      <c r="A379" s="1" t="s">
        <v>638</v>
      </c>
      <c r="B379" s="3" t="s">
        <v>328</v>
      </c>
      <c r="C379" s="1" t="s">
        <v>18</v>
      </c>
      <c r="D379" s="1" t="s">
        <v>36</v>
      </c>
      <c r="E379" s="1">
        <v>52</v>
      </c>
      <c r="F379" s="1" t="s">
        <v>88</v>
      </c>
      <c r="G379" s="1" t="s">
        <v>89</v>
      </c>
      <c r="H379" s="1" t="s">
        <v>68</v>
      </c>
      <c r="I379" s="1" t="s">
        <v>69</v>
      </c>
      <c r="J379" s="1">
        <v>6</v>
      </c>
      <c r="K379" s="1">
        <v>2</v>
      </c>
      <c r="L379" s="1">
        <v>0.05</v>
      </c>
      <c r="M379" s="1" t="s">
        <v>31</v>
      </c>
      <c r="N379" s="1" t="s">
        <v>55</v>
      </c>
    </row>
    <row r="380" spans="1:14" x14ac:dyDescent="0.25">
      <c r="A380" s="1" t="s">
        <v>639</v>
      </c>
      <c r="B380" s="3" t="s">
        <v>288</v>
      </c>
      <c r="C380" s="1" t="s">
        <v>188</v>
      </c>
      <c r="D380" s="1" t="s">
        <v>19</v>
      </c>
      <c r="E380" s="1">
        <v>44</v>
      </c>
      <c r="F380" s="1" t="s">
        <v>43</v>
      </c>
      <c r="G380" s="1" t="s">
        <v>44</v>
      </c>
      <c r="H380" s="1" t="s">
        <v>118</v>
      </c>
      <c r="I380" s="1" t="s">
        <v>23</v>
      </c>
      <c r="J380" s="1">
        <v>3</v>
      </c>
      <c r="K380" s="1">
        <v>180</v>
      </c>
      <c r="L380" s="1">
        <v>0.15</v>
      </c>
      <c r="M380" s="1" t="s">
        <v>24</v>
      </c>
      <c r="N380" s="1" t="s">
        <v>55</v>
      </c>
    </row>
    <row r="381" spans="1:14" x14ac:dyDescent="0.25">
      <c r="A381" s="1" t="s">
        <v>640</v>
      </c>
      <c r="B381" s="3" t="s">
        <v>641</v>
      </c>
      <c r="C381" s="1" t="s">
        <v>145</v>
      </c>
      <c r="D381" s="1" t="s">
        <v>36</v>
      </c>
      <c r="E381" s="1">
        <v>59</v>
      </c>
      <c r="F381" s="1" t="s">
        <v>20</v>
      </c>
      <c r="G381" s="1" t="s">
        <v>21</v>
      </c>
      <c r="H381" s="1" t="s">
        <v>118</v>
      </c>
      <c r="I381" s="1" t="s">
        <v>23</v>
      </c>
      <c r="J381" s="1">
        <v>8</v>
      </c>
      <c r="K381" s="1">
        <v>180</v>
      </c>
      <c r="L381" s="1">
        <v>0.15</v>
      </c>
      <c r="M381" s="1" t="s">
        <v>31</v>
      </c>
      <c r="N381" s="1" t="s">
        <v>51</v>
      </c>
    </row>
    <row r="382" spans="1:14" x14ac:dyDescent="0.25">
      <c r="A382" s="1" t="s">
        <v>642</v>
      </c>
      <c r="B382" s="3" t="s">
        <v>291</v>
      </c>
      <c r="C382" s="1" t="s">
        <v>223</v>
      </c>
      <c r="D382" s="1" t="s">
        <v>36</v>
      </c>
      <c r="E382" s="1">
        <v>50</v>
      </c>
      <c r="F382" s="1" t="s">
        <v>88</v>
      </c>
      <c r="G382" s="1" t="s">
        <v>89</v>
      </c>
      <c r="H382" s="1" t="s">
        <v>73</v>
      </c>
      <c r="I382" s="1" t="s">
        <v>69</v>
      </c>
      <c r="J382" s="1">
        <v>8</v>
      </c>
      <c r="K382" s="1">
        <v>5</v>
      </c>
      <c r="L382" s="1">
        <v>0.1</v>
      </c>
      <c r="M382" s="1" t="s">
        <v>45</v>
      </c>
      <c r="N382" s="1" t="s">
        <v>32</v>
      </c>
    </row>
    <row r="383" spans="1:14" x14ac:dyDescent="0.25">
      <c r="A383" s="1" t="s">
        <v>643</v>
      </c>
      <c r="B383" s="3" t="s">
        <v>242</v>
      </c>
      <c r="C383" s="1" t="s">
        <v>152</v>
      </c>
      <c r="D383" s="1" t="s">
        <v>19</v>
      </c>
      <c r="E383" s="1">
        <v>39</v>
      </c>
      <c r="F383" s="1" t="s">
        <v>88</v>
      </c>
      <c r="G383" s="1" t="s">
        <v>89</v>
      </c>
      <c r="H383" s="1" t="s">
        <v>118</v>
      </c>
      <c r="I383" s="1" t="s">
        <v>23</v>
      </c>
      <c r="J383" s="1">
        <v>10</v>
      </c>
      <c r="K383" s="1">
        <v>180</v>
      </c>
      <c r="L383" s="1">
        <v>0.1</v>
      </c>
      <c r="M383" s="1" t="s">
        <v>31</v>
      </c>
      <c r="N383" s="1" t="s">
        <v>25</v>
      </c>
    </row>
    <row r="384" spans="1:14" x14ac:dyDescent="0.25">
      <c r="A384" s="1" t="s">
        <v>644</v>
      </c>
      <c r="B384" s="3" t="s">
        <v>385</v>
      </c>
      <c r="C384" s="1" t="s">
        <v>145</v>
      </c>
      <c r="D384" s="1" t="s">
        <v>36</v>
      </c>
      <c r="E384" s="1">
        <v>34</v>
      </c>
      <c r="F384" s="1" t="s">
        <v>37</v>
      </c>
      <c r="G384" s="1" t="s">
        <v>38</v>
      </c>
      <c r="H384" s="1" t="s">
        <v>22</v>
      </c>
      <c r="I384" s="1" t="s">
        <v>23</v>
      </c>
      <c r="J384" s="1">
        <v>9</v>
      </c>
      <c r="K384" s="1">
        <v>850</v>
      </c>
      <c r="L384" s="1">
        <v>0.05</v>
      </c>
      <c r="M384" s="1" t="s">
        <v>58</v>
      </c>
      <c r="N384" s="1" t="s">
        <v>25</v>
      </c>
    </row>
    <row r="385" spans="1:14" x14ac:dyDescent="0.25">
      <c r="A385" s="1" t="s">
        <v>645</v>
      </c>
      <c r="B385" s="3" t="s">
        <v>299</v>
      </c>
      <c r="C385" s="1" t="s">
        <v>165</v>
      </c>
      <c r="D385" s="1" t="s">
        <v>36</v>
      </c>
      <c r="E385" s="1">
        <v>58</v>
      </c>
      <c r="F385" s="1" t="s">
        <v>37</v>
      </c>
      <c r="G385" s="1" t="s">
        <v>38</v>
      </c>
      <c r="H385" s="1" t="s">
        <v>68</v>
      </c>
      <c r="I385" s="1" t="s">
        <v>69</v>
      </c>
      <c r="J385" s="1">
        <v>5</v>
      </c>
      <c r="K385" s="1">
        <v>2</v>
      </c>
      <c r="L385" s="1">
        <v>0.05</v>
      </c>
      <c r="M385" s="1" t="s">
        <v>58</v>
      </c>
      <c r="N385" s="1" t="s">
        <v>32</v>
      </c>
    </row>
    <row r="386" spans="1:14" x14ac:dyDescent="0.25">
      <c r="A386" s="1" t="s">
        <v>646</v>
      </c>
      <c r="B386" s="3" t="s">
        <v>185</v>
      </c>
      <c r="C386" s="1" t="s">
        <v>152</v>
      </c>
      <c r="D386" s="1" t="s">
        <v>36</v>
      </c>
      <c r="E386" s="1">
        <v>58</v>
      </c>
      <c r="F386" s="1" t="s">
        <v>20</v>
      </c>
      <c r="G386" s="1" t="s">
        <v>21</v>
      </c>
      <c r="H386" s="1" t="s">
        <v>22</v>
      </c>
      <c r="I386" s="1" t="s">
        <v>23</v>
      </c>
      <c r="J386" s="1">
        <v>9</v>
      </c>
      <c r="K386" s="1">
        <v>850</v>
      </c>
      <c r="L386" s="1">
        <v>0.1</v>
      </c>
      <c r="M386" s="1" t="s">
        <v>93</v>
      </c>
      <c r="N386" s="1" t="s">
        <v>25</v>
      </c>
    </row>
    <row r="387" spans="1:14" x14ac:dyDescent="0.25">
      <c r="A387" s="1" t="s">
        <v>647</v>
      </c>
      <c r="B387" s="3" t="s">
        <v>245</v>
      </c>
      <c r="C387" s="1" t="s">
        <v>243</v>
      </c>
      <c r="D387" s="1" t="s">
        <v>36</v>
      </c>
      <c r="E387" s="1">
        <v>44</v>
      </c>
      <c r="F387" s="1" t="s">
        <v>37</v>
      </c>
      <c r="G387" s="1" t="s">
        <v>38</v>
      </c>
      <c r="H387" s="1" t="s">
        <v>62</v>
      </c>
      <c r="I387" s="1" t="s">
        <v>23</v>
      </c>
      <c r="J387" s="1">
        <v>10</v>
      </c>
      <c r="K387" s="1">
        <v>15</v>
      </c>
      <c r="L387" s="1">
        <v>0.15</v>
      </c>
      <c r="M387" s="1" t="s">
        <v>39</v>
      </c>
      <c r="N387" s="1" t="s">
        <v>32</v>
      </c>
    </row>
    <row r="388" spans="1:14" x14ac:dyDescent="0.25">
      <c r="A388" s="1" t="s">
        <v>648</v>
      </c>
      <c r="B388" s="3" t="s">
        <v>209</v>
      </c>
      <c r="C388" s="1" t="s">
        <v>42</v>
      </c>
      <c r="D388" s="1" t="s">
        <v>19</v>
      </c>
      <c r="E388" s="1">
        <v>41</v>
      </c>
      <c r="F388" s="1" t="s">
        <v>88</v>
      </c>
      <c r="G388" s="1" t="s">
        <v>89</v>
      </c>
      <c r="H388" s="1" t="s">
        <v>73</v>
      </c>
      <c r="I388" s="1" t="s">
        <v>69</v>
      </c>
      <c r="J388" s="1">
        <v>5</v>
      </c>
      <c r="K388" s="1">
        <v>5</v>
      </c>
      <c r="L388" s="1">
        <v>0.15</v>
      </c>
      <c r="M388" s="1" t="s">
        <v>24</v>
      </c>
      <c r="N388" s="1" t="s">
        <v>55</v>
      </c>
    </row>
    <row r="389" spans="1:14" x14ac:dyDescent="0.25">
      <c r="A389" s="1" t="s">
        <v>649</v>
      </c>
      <c r="B389" s="3" t="s">
        <v>650</v>
      </c>
      <c r="C389" s="1" t="s">
        <v>223</v>
      </c>
      <c r="D389" s="1" t="s">
        <v>19</v>
      </c>
      <c r="E389" s="1">
        <v>60</v>
      </c>
      <c r="F389" s="1" t="s">
        <v>29</v>
      </c>
      <c r="G389" s="1" t="s">
        <v>30</v>
      </c>
      <c r="H389" s="1" t="s">
        <v>62</v>
      </c>
      <c r="I389" s="1" t="s">
        <v>23</v>
      </c>
      <c r="J389" s="1">
        <v>1</v>
      </c>
      <c r="K389" s="1">
        <v>15</v>
      </c>
      <c r="L389" s="1">
        <v>0.1</v>
      </c>
      <c r="M389" s="1" t="s">
        <v>45</v>
      </c>
      <c r="N389" s="1" t="s">
        <v>32</v>
      </c>
    </row>
    <row r="390" spans="1:14" x14ac:dyDescent="0.25">
      <c r="A390" s="1" t="s">
        <v>651</v>
      </c>
      <c r="B390" s="3" t="s">
        <v>373</v>
      </c>
      <c r="C390" s="1" t="s">
        <v>123</v>
      </c>
      <c r="D390" s="1" t="s">
        <v>19</v>
      </c>
      <c r="E390" s="1">
        <v>39</v>
      </c>
      <c r="F390" s="1" t="s">
        <v>88</v>
      </c>
      <c r="G390" s="1" t="s">
        <v>89</v>
      </c>
      <c r="H390" s="1" t="s">
        <v>118</v>
      </c>
      <c r="I390" s="1" t="s">
        <v>23</v>
      </c>
      <c r="J390" s="1">
        <v>3</v>
      </c>
      <c r="K390" s="1">
        <v>180</v>
      </c>
      <c r="L390" s="1">
        <v>0.05</v>
      </c>
      <c r="M390" s="1" t="s">
        <v>39</v>
      </c>
      <c r="N390" s="1" t="s">
        <v>25</v>
      </c>
    </row>
    <row r="391" spans="1:14" x14ac:dyDescent="0.25">
      <c r="A391" s="1" t="s">
        <v>652</v>
      </c>
      <c r="B391" s="3" t="s">
        <v>349</v>
      </c>
      <c r="C391" s="1" t="s">
        <v>294</v>
      </c>
      <c r="D391" s="1" t="s">
        <v>19</v>
      </c>
      <c r="E391" s="1">
        <v>18</v>
      </c>
      <c r="F391" s="1" t="s">
        <v>43</v>
      </c>
      <c r="G391" s="1" t="s">
        <v>44</v>
      </c>
      <c r="H391" s="1" t="s">
        <v>62</v>
      </c>
      <c r="I391" s="1" t="s">
        <v>23</v>
      </c>
      <c r="J391" s="1">
        <v>3</v>
      </c>
      <c r="K391" s="1">
        <v>15</v>
      </c>
      <c r="L391" s="1">
        <v>0</v>
      </c>
      <c r="M391" s="1" t="s">
        <v>93</v>
      </c>
      <c r="N391" s="1" t="s">
        <v>32</v>
      </c>
    </row>
    <row r="392" spans="1:14" x14ac:dyDescent="0.25">
      <c r="A392" s="1" t="s">
        <v>653</v>
      </c>
      <c r="B392" s="3" t="s">
        <v>284</v>
      </c>
      <c r="C392" s="1" t="s">
        <v>155</v>
      </c>
      <c r="D392" s="1" t="s">
        <v>36</v>
      </c>
      <c r="E392" s="1">
        <v>44</v>
      </c>
      <c r="F392" s="1" t="s">
        <v>88</v>
      </c>
      <c r="G392" s="1" t="s">
        <v>89</v>
      </c>
      <c r="H392" s="1" t="s">
        <v>79</v>
      </c>
      <c r="I392" s="1" t="s">
        <v>23</v>
      </c>
      <c r="J392" s="1">
        <v>10</v>
      </c>
      <c r="K392" s="1">
        <v>500</v>
      </c>
      <c r="L392" s="1">
        <v>0.1</v>
      </c>
      <c r="M392" s="1" t="s">
        <v>39</v>
      </c>
      <c r="N392" s="1" t="s">
        <v>25</v>
      </c>
    </row>
    <row r="393" spans="1:14" x14ac:dyDescent="0.25">
      <c r="A393" s="1" t="s">
        <v>654</v>
      </c>
      <c r="B393" s="3" t="s">
        <v>116</v>
      </c>
      <c r="C393" s="1" t="s">
        <v>136</v>
      </c>
      <c r="D393" s="1" t="s">
        <v>19</v>
      </c>
      <c r="E393" s="1">
        <v>36</v>
      </c>
      <c r="F393" s="1" t="s">
        <v>29</v>
      </c>
      <c r="G393" s="1" t="s">
        <v>30</v>
      </c>
      <c r="H393" s="1" t="s">
        <v>109</v>
      </c>
      <c r="I393" s="1" t="s">
        <v>50</v>
      </c>
      <c r="J393" s="1">
        <v>7</v>
      </c>
      <c r="K393" s="1">
        <v>80</v>
      </c>
      <c r="L393" s="1">
        <v>0.15</v>
      </c>
      <c r="M393" s="1" t="s">
        <v>93</v>
      </c>
      <c r="N393" s="1" t="s">
        <v>51</v>
      </c>
    </row>
    <row r="394" spans="1:14" x14ac:dyDescent="0.25">
      <c r="A394" s="1" t="s">
        <v>655</v>
      </c>
      <c r="B394" s="3" t="s">
        <v>461</v>
      </c>
      <c r="C394" s="1" t="s">
        <v>149</v>
      </c>
      <c r="D394" s="1" t="s">
        <v>36</v>
      </c>
      <c r="E394" s="1">
        <v>40</v>
      </c>
      <c r="F394" s="1" t="s">
        <v>43</v>
      </c>
      <c r="G394" s="1" t="s">
        <v>44</v>
      </c>
      <c r="H394" s="1" t="s">
        <v>22</v>
      </c>
      <c r="I394" s="1" t="s">
        <v>23</v>
      </c>
      <c r="J394" s="1">
        <v>7</v>
      </c>
      <c r="K394" s="1">
        <v>850</v>
      </c>
      <c r="L394" s="1">
        <v>0.15</v>
      </c>
      <c r="M394" s="1" t="s">
        <v>24</v>
      </c>
      <c r="N394" s="1" t="s">
        <v>25</v>
      </c>
    </row>
    <row r="395" spans="1:14" x14ac:dyDescent="0.25">
      <c r="A395" s="1" t="s">
        <v>656</v>
      </c>
      <c r="B395" s="3" t="s">
        <v>623</v>
      </c>
      <c r="C395" s="1" t="s">
        <v>240</v>
      </c>
      <c r="D395" s="1" t="s">
        <v>36</v>
      </c>
      <c r="E395" s="1">
        <v>49</v>
      </c>
      <c r="F395" s="1" t="s">
        <v>29</v>
      </c>
      <c r="G395" s="1" t="s">
        <v>30</v>
      </c>
      <c r="H395" s="1" t="s">
        <v>68</v>
      </c>
      <c r="I395" s="1" t="s">
        <v>69</v>
      </c>
      <c r="J395" s="1">
        <v>7</v>
      </c>
      <c r="K395" s="1">
        <v>2</v>
      </c>
      <c r="L395" s="1">
        <v>0.05</v>
      </c>
      <c r="M395" s="1" t="s">
        <v>45</v>
      </c>
      <c r="N395" s="1" t="s">
        <v>55</v>
      </c>
    </row>
    <row r="396" spans="1:14" x14ac:dyDescent="0.25">
      <c r="A396" s="1" t="s">
        <v>657</v>
      </c>
      <c r="B396" s="3" t="s">
        <v>135</v>
      </c>
      <c r="C396" s="1" t="s">
        <v>82</v>
      </c>
      <c r="D396" s="1" t="s">
        <v>36</v>
      </c>
      <c r="E396" s="1">
        <v>38</v>
      </c>
      <c r="F396" s="1" t="s">
        <v>37</v>
      </c>
      <c r="G396" s="1" t="s">
        <v>38</v>
      </c>
      <c r="H396" s="1" t="s">
        <v>68</v>
      </c>
      <c r="I396" s="1" t="s">
        <v>69</v>
      </c>
      <c r="J396" s="1">
        <v>6</v>
      </c>
      <c r="K396" s="1">
        <v>2</v>
      </c>
      <c r="L396" s="1">
        <v>0.05</v>
      </c>
      <c r="M396" s="1" t="s">
        <v>93</v>
      </c>
      <c r="N396" s="1" t="s">
        <v>55</v>
      </c>
    </row>
    <row r="397" spans="1:14" x14ac:dyDescent="0.25">
      <c r="A397" s="1" t="s">
        <v>658</v>
      </c>
      <c r="B397" s="3" t="s">
        <v>47</v>
      </c>
      <c r="C397" s="1" t="s">
        <v>18</v>
      </c>
      <c r="D397" s="1" t="s">
        <v>36</v>
      </c>
      <c r="E397" s="1">
        <v>32</v>
      </c>
      <c r="F397" s="1" t="s">
        <v>29</v>
      </c>
      <c r="G397" s="1" t="s">
        <v>30</v>
      </c>
      <c r="H397" s="1" t="s">
        <v>73</v>
      </c>
      <c r="I397" s="1" t="s">
        <v>69</v>
      </c>
      <c r="J397" s="1">
        <v>10</v>
      </c>
      <c r="K397" s="1">
        <v>5</v>
      </c>
      <c r="L397" s="1">
        <v>0.15</v>
      </c>
      <c r="M397" s="1" t="s">
        <v>24</v>
      </c>
      <c r="N397" s="1" t="s">
        <v>32</v>
      </c>
    </row>
    <row r="398" spans="1:14" x14ac:dyDescent="0.25">
      <c r="A398" s="1" t="s">
        <v>659</v>
      </c>
      <c r="B398" s="3" t="s">
        <v>323</v>
      </c>
      <c r="C398" s="1" t="s">
        <v>268</v>
      </c>
      <c r="D398" s="1" t="s">
        <v>36</v>
      </c>
      <c r="E398" s="1">
        <v>52</v>
      </c>
      <c r="F398" s="1" t="s">
        <v>43</v>
      </c>
      <c r="G398" s="1" t="s">
        <v>44</v>
      </c>
      <c r="H398" s="1" t="s">
        <v>68</v>
      </c>
      <c r="I398" s="1" t="s">
        <v>69</v>
      </c>
      <c r="J398" s="1">
        <v>5</v>
      </c>
      <c r="K398" s="1">
        <v>2</v>
      </c>
      <c r="L398" s="1">
        <v>0.15</v>
      </c>
      <c r="M398" s="1" t="s">
        <v>93</v>
      </c>
      <c r="N398" s="1" t="s">
        <v>25</v>
      </c>
    </row>
    <row r="399" spans="1:14" x14ac:dyDescent="0.25">
      <c r="A399" s="1" t="s">
        <v>660</v>
      </c>
      <c r="B399" s="3" t="s">
        <v>167</v>
      </c>
      <c r="C399" s="1" t="s">
        <v>126</v>
      </c>
      <c r="D399" s="1" t="s">
        <v>36</v>
      </c>
      <c r="E399" s="1">
        <v>50</v>
      </c>
      <c r="F399" s="1" t="s">
        <v>29</v>
      </c>
      <c r="G399" s="1" t="s">
        <v>30</v>
      </c>
      <c r="H399" s="1" t="s">
        <v>49</v>
      </c>
      <c r="I399" s="1" t="s">
        <v>50</v>
      </c>
      <c r="J399" s="1">
        <v>7</v>
      </c>
      <c r="K399" s="1">
        <v>120</v>
      </c>
      <c r="L399" s="1">
        <v>0.05</v>
      </c>
      <c r="M399" s="1" t="s">
        <v>39</v>
      </c>
      <c r="N399" s="1" t="s">
        <v>51</v>
      </c>
    </row>
    <row r="400" spans="1:14" x14ac:dyDescent="0.25">
      <c r="A400" s="1" t="s">
        <v>661</v>
      </c>
      <c r="B400" s="3" t="s">
        <v>383</v>
      </c>
      <c r="C400" s="1" t="s">
        <v>114</v>
      </c>
      <c r="D400" s="1" t="s">
        <v>36</v>
      </c>
      <c r="E400" s="1">
        <v>20</v>
      </c>
      <c r="F400" s="1" t="s">
        <v>37</v>
      </c>
      <c r="G400" s="1" t="s">
        <v>38</v>
      </c>
      <c r="H400" s="1" t="s">
        <v>49</v>
      </c>
      <c r="I400" s="1" t="s">
        <v>50</v>
      </c>
      <c r="J400" s="1">
        <v>4</v>
      </c>
      <c r="K400" s="1">
        <v>120</v>
      </c>
      <c r="L400" s="1">
        <v>0</v>
      </c>
      <c r="M400" s="1" t="s">
        <v>58</v>
      </c>
      <c r="N400" s="1" t="s">
        <v>55</v>
      </c>
    </row>
    <row r="401" spans="1:14" x14ac:dyDescent="0.25">
      <c r="A401" s="1" t="s">
        <v>662</v>
      </c>
      <c r="B401" s="3" t="s">
        <v>458</v>
      </c>
      <c r="C401" s="1" t="s">
        <v>294</v>
      </c>
      <c r="D401" s="1" t="s">
        <v>19</v>
      </c>
      <c r="E401" s="1">
        <v>46</v>
      </c>
      <c r="F401" s="1" t="s">
        <v>29</v>
      </c>
      <c r="G401" s="1" t="s">
        <v>30</v>
      </c>
      <c r="H401" s="1" t="s">
        <v>49</v>
      </c>
      <c r="I401" s="1" t="s">
        <v>50</v>
      </c>
      <c r="J401" s="1">
        <v>8</v>
      </c>
      <c r="K401" s="1">
        <v>120</v>
      </c>
      <c r="L401" s="1">
        <v>0</v>
      </c>
      <c r="M401" s="1" t="s">
        <v>93</v>
      </c>
      <c r="N401" s="1" t="s">
        <v>55</v>
      </c>
    </row>
    <row r="402" spans="1:14" x14ac:dyDescent="0.25">
      <c r="A402" s="1" t="s">
        <v>663</v>
      </c>
      <c r="B402" s="3" t="s">
        <v>354</v>
      </c>
      <c r="C402" s="1" t="s">
        <v>117</v>
      </c>
      <c r="D402" s="1" t="s">
        <v>19</v>
      </c>
      <c r="E402" s="1">
        <v>51</v>
      </c>
      <c r="F402" s="1" t="s">
        <v>20</v>
      </c>
      <c r="G402" s="1" t="s">
        <v>21</v>
      </c>
      <c r="H402" s="1" t="s">
        <v>68</v>
      </c>
      <c r="I402" s="1" t="s">
        <v>69</v>
      </c>
      <c r="J402" s="1">
        <v>1</v>
      </c>
      <c r="K402" s="1">
        <v>2</v>
      </c>
      <c r="L402" s="1">
        <v>0.1</v>
      </c>
      <c r="M402" s="1" t="s">
        <v>45</v>
      </c>
      <c r="N402" s="1" t="s">
        <v>51</v>
      </c>
    </row>
    <row r="403" spans="1:14" x14ac:dyDescent="0.25">
      <c r="A403" s="1" t="s">
        <v>664</v>
      </c>
      <c r="B403" s="3" t="s">
        <v>263</v>
      </c>
      <c r="C403" s="1" t="s">
        <v>42</v>
      </c>
      <c r="D403" s="1" t="s">
        <v>19</v>
      </c>
      <c r="E403" s="1">
        <v>55</v>
      </c>
      <c r="F403" s="1" t="s">
        <v>43</v>
      </c>
      <c r="G403" s="1" t="s">
        <v>44</v>
      </c>
      <c r="H403" s="1" t="s">
        <v>49</v>
      </c>
      <c r="I403" s="1" t="s">
        <v>50</v>
      </c>
      <c r="J403" s="1">
        <v>6</v>
      </c>
      <c r="K403" s="1">
        <v>120</v>
      </c>
      <c r="L403" s="1">
        <v>0.1</v>
      </c>
      <c r="M403" s="1" t="s">
        <v>31</v>
      </c>
      <c r="N403" s="1" t="s">
        <v>55</v>
      </c>
    </row>
    <row r="404" spans="1:14" x14ac:dyDescent="0.25">
      <c r="A404" s="1" t="s">
        <v>665</v>
      </c>
      <c r="B404" s="3" t="s">
        <v>67</v>
      </c>
      <c r="C404" s="1" t="s">
        <v>108</v>
      </c>
      <c r="D404" s="1" t="s">
        <v>36</v>
      </c>
      <c r="E404" s="1">
        <v>33</v>
      </c>
      <c r="F404" s="1" t="s">
        <v>29</v>
      </c>
      <c r="G404" s="1" t="s">
        <v>30</v>
      </c>
      <c r="H404" s="1" t="s">
        <v>109</v>
      </c>
      <c r="I404" s="1" t="s">
        <v>50</v>
      </c>
      <c r="J404" s="1">
        <v>2</v>
      </c>
      <c r="K404" s="1">
        <v>80</v>
      </c>
      <c r="L404" s="1">
        <v>0.1</v>
      </c>
      <c r="M404" s="1" t="s">
        <v>31</v>
      </c>
      <c r="N404" s="1" t="s">
        <v>32</v>
      </c>
    </row>
    <row r="405" spans="1:14" x14ac:dyDescent="0.25">
      <c r="A405" s="1" t="s">
        <v>666</v>
      </c>
      <c r="B405" s="3" t="s">
        <v>356</v>
      </c>
      <c r="C405" s="1" t="s">
        <v>65</v>
      </c>
      <c r="D405" s="1" t="s">
        <v>19</v>
      </c>
      <c r="E405" s="1">
        <v>22</v>
      </c>
      <c r="F405" s="1" t="s">
        <v>43</v>
      </c>
      <c r="G405" s="1" t="s">
        <v>44</v>
      </c>
      <c r="H405" s="1" t="s">
        <v>118</v>
      </c>
      <c r="I405" s="1" t="s">
        <v>23</v>
      </c>
      <c r="J405" s="1">
        <v>10</v>
      </c>
      <c r="K405" s="1">
        <v>180</v>
      </c>
      <c r="L405" s="1">
        <v>0.05</v>
      </c>
      <c r="M405" s="1" t="s">
        <v>39</v>
      </c>
      <c r="N405" s="1" t="s">
        <v>32</v>
      </c>
    </row>
    <row r="406" spans="1:14" x14ac:dyDescent="0.25">
      <c r="A406" s="1" t="s">
        <v>667</v>
      </c>
      <c r="B406" s="3" t="s">
        <v>81</v>
      </c>
      <c r="C406" s="1" t="s">
        <v>268</v>
      </c>
      <c r="D406" s="1" t="s">
        <v>19</v>
      </c>
      <c r="E406" s="1">
        <v>60</v>
      </c>
      <c r="F406" s="1" t="s">
        <v>29</v>
      </c>
      <c r="G406" s="1" t="s">
        <v>30</v>
      </c>
      <c r="H406" s="1" t="s">
        <v>79</v>
      </c>
      <c r="I406" s="1" t="s">
        <v>23</v>
      </c>
      <c r="J406" s="1">
        <v>9</v>
      </c>
      <c r="K406" s="1">
        <v>500</v>
      </c>
      <c r="L406" s="1">
        <v>0</v>
      </c>
      <c r="M406" s="1" t="s">
        <v>31</v>
      </c>
      <c r="N406" s="1" t="s">
        <v>25</v>
      </c>
    </row>
    <row r="407" spans="1:14" x14ac:dyDescent="0.25">
      <c r="A407" s="1" t="s">
        <v>668</v>
      </c>
      <c r="B407" s="3" t="s">
        <v>299</v>
      </c>
      <c r="C407" s="1" t="s">
        <v>303</v>
      </c>
      <c r="D407" s="1" t="s">
        <v>36</v>
      </c>
      <c r="E407" s="1">
        <v>26</v>
      </c>
      <c r="F407" s="1" t="s">
        <v>29</v>
      </c>
      <c r="G407" s="1" t="s">
        <v>30</v>
      </c>
      <c r="H407" s="1" t="s">
        <v>118</v>
      </c>
      <c r="I407" s="1" t="s">
        <v>23</v>
      </c>
      <c r="J407" s="1">
        <v>5</v>
      </c>
      <c r="K407" s="1">
        <v>180</v>
      </c>
      <c r="L407" s="1">
        <v>0.1</v>
      </c>
      <c r="M407" s="1" t="s">
        <v>39</v>
      </c>
      <c r="N407" s="1" t="s">
        <v>32</v>
      </c>
    </row>
    <row r="408" spans="1:14" x14ac:dyDescent="0.25">
      <c r="A408" s="1" t="s">
        <v>669</v>
      </c>
      <c r="B408" s="3" t="s">
        <v>572</v>
      </c>
      <c r="C408" s="1" t="s">
        <v>256</v>
      </c>
      <c r="D408" s="1" t="s">
        <v>36</v>
      </c>
      <c r="E408" s="1">
        <v>23</v>
      </c>
      <c r="F408" s="1" t="s">
        <v>43</v>
      </c>
      <c r="G408" s="1" t="s">
        <v>44</v>
      </c>
      <c r="H408" s="1" t="s">
        <v>73</v>
      </c>
      <c r="I408" s="1" t="s">
        <v>69</v>
      </c>
      <c r="J408" s="1">
        <v>7</v>
      </c>
      <c r="K408" s="1">
        <v>5</v>
      </c>
      <c r="L408" s="1">
        <v>0</v>
      </c>
      <c r="M408" s="1" t="s">
        <v>93</v>
      </c>
      <c r="N408" s="1" t="s">
        <v>25</v>
      </c>
    </row>
    <row r="409" spans="1:14" x14ac:dyDescent="0.25">
      <c r="A409" s="1" t="s">
        <v>670</v>
      </c>
      <c r="B409" s="3" t="s">
        <v>502</v>
      </c>
      <c r="C409" s="1" t="s">
        <v>180</v>
      </c>
      <c r="D409" s="1" t="s">
        <v>36</v>
      </c>
      <c r="E409" s="1">
        <v>34</v>
      </c>
      <c r="F409" s="1" t="s">
        <v>43</v>
      </c>
      <c r="G409" s="1" t="s">
        <v>44</v>
      </c>
      <c r="H409" s="1" t="s">
        <v>79</v>
      </c>
      <c r="I409" s="1" t="s">
        <v>23</v>
      </c>
      <c r="J409" s="1">
        <v>8</v>
      </c>
      <c r="K409" s="1">
        <v>500</v>
      </c>
      <c r="L409" s="1">
        <v>0.15</v>
      </c>
      <c r="M409" s="1" t="s">
        <v>58</v>
      </c>
      <c r="N409" s="1" t="s">
        <v>55</v>
      </c>
    </row>
    <row r="410" spans="1:14" x14ac:dyDescent="0.25">
      <c r="A410" s="1" t="s">
        <v>671</v>
      </c>
      <c r="B410" s="3" t="s">
        <v>363</v>
      </c>
      <c r="C410" s="1" t="s">
        <v>108</v>
      </c>
      <c r="D410" s="1" t="s">
        <v>36</v>
      </c>
      <c r="E410" s="1">
        <v>44</v>
      </c>
      <c r="F410" s="1" t="s">
        <v>43</v>
      </c>
      <c r="G410" s="1" t="s">
        <v>44</v>
      </c>
      <c r="H410" s="1" t="s">
        <v>79</v>
      </c>
      <c r="I410" s="1" t="s">
        <v>23</v>
      </c>
      <c r="J410" s="1">
        <v>3</v>
      </c>
      <c r="K410" s="1">
        <v>500</v>
      </c>
      <c r="L410" s="1">
        <v>0.05</v>
      </c>
      <c r="M410" s="1" t="s">
        <v>58</v>
      </c>
      <c r="N410" s="1" t="s">
        <v>32</v>
      </c>
    </row>
    <row r="411" spans="1:14" x14ac:dyDescent="0.25">
      <c r="A411" s="1" t="s">
        <v>672</v>
      </c>
      <c r="B411" s="3" t="s">
        <v>488</v>
      </c>
      <c r="C411" s="1" t="s">
        <v>65</v>
      </c>
      <c r="D411" s="1" t="s">
        <v>36</v>
      </c>
      <c r="E411" s="1">
        <v>21</v>
      </c>
      <c r="F411" s="1" t="s">
        <v>20</v>
      </c>
      <c r="G411" s="1" t="s">
        <v>21</v>
      </c>
      <c r="H411" s="1" t="s">
        <v>49</v>
      </c>
      <c r="I411" s="1" t="s">
        <v>50</v>
      </c>
      <c r="J411" s="1">
        <v>3</v>
      </c>
      <c r="K411" s="1">
        <v>120</v>
      </c>
      <c r="L411" s="1">
        <v>0</v>
      </c>
      <c r="M411" s="1" t="s">
        <v>93</v>
      </c>
      <c r="N411" s="1" t="s">
        <v>51</v>
      </c>
    </row>
    <row r="412" spans="1:14" x14ac:dyDescent="0.25">
      <c r="A412" s="1" t="s">
        <v>673</v>
      </c>
      <c r="B412" s="3" t="s">
        <v>47</v>
      </c>
      <c r="C412" s="1" t="s">
        <v>117</v>
      </c>
      <c r="D412" s="1" t="s">
        <v>36</v>
      </c>
      <c r="E412" s="1">
        <v>31</v>
      </c>
      <c r="F412" s="1" t="s">
        <v>88</v>
      </c>
      <c r="G412" s="1" t="s">
        <v>89</v>
      </c>
      <c r="H412" s="1" t="s">
        <v>62</v>
      </c>
      <c r="I412" s="1" t="s">
        <v>23</v>
      </c>
      <c r="J412" s="1">
        <v>4</v>
      </c>
      <c r="K412" s="1">
        <v>15</v>
      </c>
      <c r="L412" s="1">
        <v>0.15</v>
      </c>
      <c r="M412" s="1" t="s">
        <v>58</v>
      </c>
      <c r="N412" s="1" t="s">
        <v>25</v>
      </c>
    </row>
    <row r="413" spans="1:14" x14ac:dyDescent="0.25">
      <c r="A413" s="1" t="s">
        <v>674</v>
      </c>
      <c r="B413" s="3" t="s">
        <v>91</v>
      </c>
      <c r="C413" s="1" t="s">
        <v>145</v>
      </c>
      <c r="D413" s="1" t="s">
        <v>19</v>
      </c>
      <c r="E413" s="1">
        <v>30</v>
      </c>
      <c r="F413" s="1" t="s">
        <v>20</v>
      </c>
      <c r="G413" s="1" t="s">
        <v>21</v>
      </c>
      <c r="H413" s="1" t="s">
        <v>62</v>
      </c>
      <c r="I413" s="1" t="s">
        <v>23</v>
      </c>
      <c r="J413" s="1">
        <v>8</v>
      </c>
      <c r="K413" s="1">
        <v>15</v>
      </c>
      <c r="L413" s="1">
        <v>0</v>
      </c>
      <c r="M413" s="1" t="s">
        <v>31</v>
      </c>
      <c r="N413" s="1" t="s">
        <v>55</v>
      </c>
    </row>
    <row r="414" spans="1:14" x14ac:dyDescent="0.25">
      <c r="A414" s="1" t="s">
        <v>675</v>
      </c>
      <c r="B414" s="3" t="s">
        <v>349</v>
      </c>
      <c r="C414" s="1" t="s">
        <v>87</v>
      </c>
      <c r="D414" s="1" t="s">
        <v>19</v>
      </c>
      <c r="E414" s="1">
        <v>57</v>
      </c>
      <c r="F414" s="1" t="s">
        <v>20</v>
      </c>
      <c r="G414" s="1" t="s">
        <v>21</v>
      </c>
      <c r="H414" s="1" t="s">
        <v>79</v>
      </c>
      <c r="I414" s="1" t="s">
        <v>23</v>
      </c>
      <c r="J414" s="1">
        <v>5</v>
      </c>
      <c r="K414" s="1">
        <v>500</v>
      </c>
      <c r="L414" s="1">
        <v>0</v>
      </c>
      <c r="M414" s="1" t="s">
        <v>58</v>
      </c>
      <c r="N414" s="1" t="s">
        <v>32</v>
      </c>
    </row>
    <row r="415" spans="1:14" x14ac:dyDescent="0.25">
      <c r="A415" s="1" t="s">
        <v>676</v>
      </c>
      <c r="B415" s="3" t="s">
        <v>307</v>
      </c>
      <c r="C415" s="1" t="s">
        <v>256</v>
      </c>
      <c r="D415" s="1" t="s">
        <v>19</v>
      </c>
      <c r="E415" s="1">
        <v>21</v>
      </c>
      <c r="F415" s="1" t="s">
        <v>29</v>
      </c>
      <c r="G415" s="1" t="s">
        <v>30</v>
      </c>
      <c r="H415" s="1" t="s">
        <v>118</v>
      </c>
      <c r="I415" s="1" t="s">
        <v>23</v>
      </c>
      <c r="J415" s="1">
        <v>7</v>
      </c>
      <c r="K415" s="1">
        <v>180</v>
      </c>
      <c r="L415" s="1">
        <v>0</v>
      </c>
      <c r="M415" s="1" t="s">
        <v>58</v>
      </c>
      <c r="N415" s="1" t="s">
        <v>25</v>
      </c>
    </row>
    <row r="416" spans="1:14" x14ac:dyDescent="0.25">
      <c r="A416" s="1" t="s">
        <v>677</v>
      </c>
      <c r="B416" s="3" t="s">
        <v>423</v>
      </c>
      <c r="C416" s="1" t="s">
        <v>158</v>
      </c>
      <c r="D416" s="1" t="s">
        <v>36</v>
      </c>
      <c r="E416" s="1">
        <v>27</v>
      </c>
      <c r="F416" s="1" t="s">
        <v>43</v>
      </c>
      <c r="G416" s="1" t="s">
        <v>44</v>
      </c>
      <c r="H416" s="1" t="s">
        <v>118</v>
      </c>
      <c r="I416" s="1" t="s">
        <v>23</v>
      </c>
      <c r="J416" s="1">
        <v>1</v>
      </c>
      <c r="K416" s="1">
        <v>180</v>
      </c>
      <c r="L416" s="1">
        <v>0</v>
      </c>
      <c r="M416" s="1" t="s">
        <v>39</v>
      </c>
      <c r="N416" s="1" t="s">
        <v>55</v>
      </c>
    </row>
    <row r="417" spans="1:14" x14ac:dyDescent="0.25">
      <c r="A417" s="1" t="s">
        <v>678</v>
      </c>
      <c r="B417" s="3" t="s">
        <v>451</v>
      </c>
      <c r="C417" s="1" t="s">
        <v>268</v>
      </c>
      <c r="D417" s="1" t="s">
        <v>19</v>
      </c>
      <c r="E417" s="1">
        <v>38</v>
      </c>
      <c r="F417" s="1" t="s">
        <v>88</v>
      </c>
      <c r="G417" s="1" t="s">
        <v>89</v>
      </c>
      <c r="H417" s="1" t="s">
        <v>79</v>
      </c>
      <c r="I417" s="1" t="s">
        <v>23</v>
      </c>
      <c r="J417" s="1">
        <v>8</v>
      </c>
      <c r="K417" s="1">
        <v>500</v>
      </c>
      <c r="L417" s="1">
        <v>0.1</v>
      </c>
      <c r="M417" s="1" t="s">
        <v>39</v>
      </c>
      <c r="N417" s="1" t="s">
        <v>51</v>
      </c>
    </row>
    <row r="418" spans="1:14" x14ac:dyDescent="0.25">
      <c r="A418" s="1" t="s">
        <v>679</v>
      </c>
      <c r="B418" s="3" t="s">
        <v>474</v>
      </c>
      <c r="C418" s="1" t="s">
        <v>96</v>
      </c>
      <c r="D418" s="1" t="s">
        <v>19</v>
      </c>
      <c r="E418" s="1">
        <v>21</v>
      </c>
      <c r="F418" s="1" t="s">
        <v>29</v>
      </c>
      <c r="G418" s="1" t="s">
        <v>30</v>
      </c>
      <c r="H418" s="1" t="s">
        <v>22</v>
      </c>
      <c r="I418" s="1" t="s">
        <v>23</v>
      </c>
      <c r="J418" s="1">
        <v>10</v>
      </c>
      <c r="K418" s="1">
        <v>850</v>
      </c>
      <c r="L418" s="1">
        <v>0</v>
      </c>
      <c r="M418" s="1" t="s">
        <v>58</v>
      </c>
      <c r="N418" s="1" t="s">
        <v>51</v>
      </c>
    </row>
    <row r="419" spans="1:14" x14ac:dyDescent="0.25">
      <c r="A419" s="1" t="s">
        <v>680</v>
      </c>
      <c r="B419" s="3" t="s">
        <v>681</v>
      </c>
      <c r="C419" s="1" t="s">
        <v>205</v>
      </c>
      <c r="D419" s="1" t="s">
        <v>36</v>
      </c>
      <c r="E419" s="1">
        <v>32</v>
      </c>
      <c r="F419" s="1" t="s">
        <v>43</v>
      </c>
      <c r="G419" s="1" t="s">
        <v>44</v>
      </c>
      <c r="H419" s="1" t="s">
        <v>109</v>
      </c>
      <c r="I419" s="1" t="s">
        <v>50</v>
      </c>
      <c r="J419" s="1">
        <v>4</v>
      </c>
      <c r="K419" s="1">
        <v>80</v>
      </c>
      <c r="L419" s="1">
        <v>0.1</v>
      </c>
      <c r="M419" s="1" t="s">
        <v>45</v>
      </c>
      <c r="N419" s="1" t="s">
        <v>55</v>
      </c>
    </row>
    <row r="420" spans="1:14" x14ac:dyDescent="0.25">
      <c r="A420" s="1" t="s">
        <v>682</v>
      </c>
      <c r="B420" s="3" t="s">
        <v>427</v>
      </c>
      <c r="C420" s="1" t="s">
        <v>268</v>
      </c>
      <c r="D420" s="1" t="s">
        <v>19</v>
      </c>
      <c r="E420" s="1">
        <v>55</v>
      </c>
      <c r="F420" s="1" t="s">
        <v>88</v>
      </c>
      <c r="G420" s="1" t="s">
        <v>89</v>
      </c>
      <c r="H420" s="1" t="s">
        <v>79</v>
      </c>
      <c r="I420" s="1" t="s">
        <v>23</v>
      </c>
      <c r="J420" s="1">
        <v>3</v>
      </c>
      <c r="K420" s="1">
        <v>500</v>
      </c>
      <c r="L420" s="1">
        <v>0.15</v>
      </c>
      <c r="M420" s="1" t="s">
        <v>24</v>
      </c>
      <c r="N420" s="1" t="s">
        <v>55</v>
      </c>
    </row>
    <row r="421" spans="1:14" x14ac:dyDescent="0.25">
      <c r="A421" s="1" t="s">
        <v>683</v>
      </c>
      <c r="B421" s="3" t="s">
        <v>81</v>
      </c>
      <c r="C421" s="1" t="s">
        <v>223</v>
      </c>
      <c r="D421" s="1" t="s">
        <v>19</v>
      </c>
      <c r="E421" s="1">
        <v>51</v>
      </c>
      <c r="F421" s="1" t="s">
        <v>43</v>
      </c>
      <c r="G421" s="1" t="s">
        <v>44</v>
      </c>
      <c r="H421" s="1" t="s">
        <v>73</v>
      </c>
      <c r="I421" s="1" t="s">
        <v>69</v>
      </c>
      <c r="J421" s="1">
        <v>7</v>
      </c>
      <c r="K421" s="1">
        <v>5</v>
      </c>
      <c r="L421" s="1">
        <v>0</v>
      </c>
      <c r="M421" s="1" t="s">
        <v>24</v>
      </c>
      <c r="N421" s="1" t="s">
        <v>32</v>
      </c>
    </row>
    <row r="422" spans="1:14" x14ac:dyDescent="0.25">
      <c r="A422" s="1" t="s">
        <v>684</v>
      </c>
      <c r="B422" s="3" t="s">
        <v>47</v>
      </c>
      <c r="C422" s="1" t="s">
        <v>240</v>
      </c>
      <c r="D422" s="1" t="s">
        <v>19</v>
      </c>
      <c r="E422" s="1">
        <v>22</v>
      </c>
      <c r="F422" s="1" t="s">
        <v>43</v>
      </c>
      <c r="G422" s="1" t="s">
        <v>44</v>
      </c>
      <c r="H422" s="1" t="s">
        <v>68</v>
      </c>
      <c r="I422" s="1" t="s">
        <v>69</v>
      </c>
      <c r="J422" s="1">
        <v>4</v>
      </c>
      <c r="K422" s="1">
        <v>2</v>
      </c>
      <c r="L422" s="1">
        <v>0.15</v>
      </c>
      <c r="M422" s="1" t="s">
        <v>45</v>
      </c>
      <c r="N422" s="1" t="s">
        <v>55</v>
      </c>
    </row>
    <row r="423" spans="1:14" x14ac:dyDescent="0.25">
      <c r="A423" s="1" t="s">
        <v>685</v>
      </c>
      <c r="B423" s="3" t="s">
        <v>64</v>
      </c>
      <c r="C423" s="1" t="s">
        <v>87</v>
      </c>
      <c r="D423" s="1" t="s">
        <v>36</v>
      </c>
      <c r="E423" s="1">
        <v>20</v>
      </c>
      <c r="F423" s="1" t="s">
        <v>29</v>
      </c>
      <c r="G423" s="1" t="s">
        <v>30</v>
      </c>
      <c r="H423" s="1" t="s">
        <v>62</v>
      </c>
      <c r="I423" s="1" t="s">
        <v>23</v>
      </c>
      <c r="J423" s="1">
        <v>9</v>
      </c>
      <c r="K423" s="1">
        <v>15</v>
      </c>
      <c r="L423" s="1">
        <v>0</v>
      </c>
      <c r="M423" s="1" t="s">
        <v>45</v>
      </c>
      <c r="N423" s="1" t="s">
        <v>25</v>
      </c>
    </row>
    <row r="424" spans="1:14" x14ac:dyDescent="0.25">
      <c r="A424" s="1" t="s">
        <v>686</v>
      </c>
      <c r="B424" s="3" t="s">
        <v>316</v>
      </c>
      <c r="C424" s="1" t="s">
        <v>102</v>
      </c>
      <c r="D424" s="1" t="s">
        <v>36</v>
      </c>
      <c r="E424" s="1">
        <v>24</v>
      </c>
      <c r="F424" s="1" t="s">
        <v>37</v>
      </c>
      <c r="G424" s="1" t="s">
        <v>38</v>
      </c>
      <c r="H424" s="1" t="s">
        <v>22</v>
      </c>
      <c r="I424" s="1" t="s">
        <v>23</v>
      </c>
      <c r="J424" s="1">
        <v>7</v>
      </c>
      <c r="K424" s="1">
        <v>850</v>
      </c>
      <c r="L424" s="1">
        <v>0</v>
      </c>
      <c r="M424" s="1" t="s">
        <v>39</v>
      </c>
      <c r="N424" s="1" t="s">
        <v>25</v>
      </c>
    </row>
    <row r="425" spans="1:14" x14ac:dyDescent="0.25">
      <c r="A425" s="1" t="s">
        <v>687</v>
      </c>
      <c r="B425" s="3" t="s">
        <v>230</v>
      </c>
      <c r="C425" s="1" t="s">
        <v>303</v>
      </c>
      <c r="D425" s="1" t="s">
        <v>36</v>
      </c>
      <c r="E425" s="1">
        <v>53</v>
      </c>
      <c r="F425" s="1" t="s">
        <v>43</v>
      </c>
      <c r="G425" s="1" t="s">
        <v>44</v>
      </c>
      <c r="H425" s="1" t="s">
        <v>109</v>
      </c>
      <c r="I425" s="1" t="s">
        <v>50</v>
      </c>
      <c r="J425" s="1">
        <v>7</v>
      </c>
      <c r="K425" s="1">
        <v>80</v>
      </c>
      <c r="L425" s="1">
        <v>0.05</v>
      </c>
      <c r="M425" s="1" t="s">
        <v>93</v>
      </c>
      <c r="N425" s="1" t="s">
        <v>25</v>
      </c>
    </row>
    <row r="426" spans="1:14" x14ac:dyDescent="0.25">
      <c r="A426" s="1" t="s">
        <v>688</v>
      </c>
      <c r="B426" s="3" t="s">
        <v>86</v>
      </c>
      <c r="C426" s="1" t="s">
        <v>152</v>
      </c>
      <c r="D426" s="1" t="s">
        <v>19</v>
      </c>
      <c r="E426" s="1">
        <v>53</v>
      </c>
      <c r="F426" s="1" t="s">
        <v>88</v>
      </c>
      <c r="G426" s="1" t="s">
        <v>89</v>
      </c>
      <c r="H426" s="1" t="s">
        <v>22</v>
      </c>
      <c r="I426" s="1" t="s">
        <v>23</v>
      </c>
      <c r="J426" s="1">
        <v>7</v>
      </c>
      <c r="K426" s="1">
        <v>850</v>
      </c>
      <c r="L426" s="1">
        <v>0</v>
      </c>
      <c r="M426" s="1" t="s">
        <v>93</v>
      </c>
      <c r="N426" s="1" t="s">
        <v>25</v>
      </c>
    </row>
    <row r="427" spans="1:14" x14ac:dyDescent="0.25">
      <c r="A427" s="1" t="s">
        <v>689</v>
      </c>
      <c r="B427" s="3" t="s">
        <v>216</v>
      </c>
      <c r="C427" s="1" t="s">
        <v>126</v>
      </c>
      <c r="D427" s="1" t="s">
        <v>36</v>
      </c>
      <c r="E427" s="1">
        <v>38</v>
      </c>
      <c r="F427" s="1" t="s">
        <v>20</v>
      </c>
      <c r="G427" s="1" t="s">
        <v>21</v>
      </c>
      <c r="H427" s="1" t="s">
        <v>79</v>
      </c>
      <c r="I427" s="1" t="s">
        <v>23</v>
      </c>
      <c r="J427" s="1">
        <v>1</v>
      </c>
      <c r="K427" s="1">
        <v>500</v>
      </c>
      <c r="L427" s="1">
        <v>0</v>
      </c>
      <c r="M427" s="1" t="s">
        <v>39</v>
      </c>
      <c r="N427" s="1" t="s">
        <v>32</v>
      </c>
    </row>
    <row r="428" spans="1:14" x14ac:dyDescent="0.25">
      <c r="A428" s="1" t="s">
        <v>690</v>
      </c>
      <c r="B428" s="3" t="s">
        <v>423</v>
      </c>
      <c r="C428" s="1" t="s">
        <v>131</v>
      </c>
      <c r="D428" s="1" t="s">
        <v>36</v>
      </c>
      <c r="E428" s="1">
        <v>45</v>
      </c>
      <c r="F428" s="1" t="s">
        <v>88</v>
      </c>
      <c r="G428" s="1" t="s">
        <v>89</v>
      </c>
      <c r="H428" s="1" t="s">
        <v>49</v>
      </c>
      <c r="I428" s="1" t="s">
        <v>50</v>
      </c>
      <c r="J428" s="1">
        <v>1</v>
      </c>
      <c r="K428" s="1">
        <v>120</v>
      </c>
      <c r="L428" s="1">
        <v>0.05</v>
      </c>
      <c r="M428" s="1" t="s">
        <v>24</v>
      </c>
      <c r="N428" s="1" t="s">
        <v>25</v>
      </c>
    </row>
    <row r="429" spans="1:14" x14ac:dyDescent="0.25">
      <c r="A429" s="1" t="s">
        <v>691</v>
      </c>
      <c r="B429" s="3" t="s">
        <v>86</v>
      </c>
      <c r="C429" s="1" t="s">
        <v>240</v>
      </c>
      <c r="D429" s="1" t="s">
        <v>36</v>
      </c>
      <c r="E429" s="1">
        <v>32</v>
      </c>
      <c r="F429" s="1" t="s">
        <v>88</v>
      </c>
      <c r="G429" s="1" t="s">
        <v>89</v>
      </c>
      <c r="H429" s="1" t="s">
        <v>62</v>
      </c>
      <c r="I429" s="1" t="s">
        <v>23</v>
      </c>
      <c r="J429" s="1">
        <v>4</v>
      </c>
      <c r="K429" s="1">
        <v>15</v>
      </c>
      <c r="L429" s="1">
        <v>0.15</v>
      </c>
      <c r="M429" s="1" t="s">
        <v>39</v>
      </c>
      <c r="N429" s="1" t="s">
        <v>55</v>
      </c>
    </row>
    <row r="430" spans="1:14" x14ac:dyDescent="0.25">
      <c r="A430" s="1" t="s">
        <v>692</v>
      </c>
      <c r="B430" s="3" t="s">
        <v>623</v>
      </c>
      <c r="C430" s="1" t="s">
        <v>243</v>
      </c>
      <c r="D430" s="1" t="s">
        <v>36</v>
      </c>
      <c r="E430" s="1">
        <v>18</v>
      </c>
      <c r="F430" s="1" t="s">
        <v>20</v>
      </c>
      <c r="G430" s="1" t="s">
        <v>21</v>
      </c>
      <c r="H430" s="1" t="s">
        <v>73</v>
      </c>
      <c r="I430" s="1" t="s">
        <v>69</v>
      </c>
      <c r="J430" s="1">
        <v>1</v>
      </c>
      <c r="K430" s="1">
        <v>5</v>
      </c>
      <c r="L430" s="1">
        <v>0.05</v>
      </c>
      <c r="M430" s="1" t="s">
        <v>24</v>
      </c>
      <c r="N430" s="1" t="s">
        <v>55</v>
      </c>
    </row>
    <row r="431" spans="1:14" x14ac:dyDescent="0.25">
      <c r="A431" s="1" t="s">
        <v>693</v>
      </c>
      <c r="B431" s="3" t="s">
        <v>209</v>
      </c>
      <c r="C431" s="1" t="s">
        <v>72</v>
      </c>
      <c r="D431" s="1" t="s">
        <v>36</v>
      </c>
      <c r="E431" s="1">
        <v>25</v>
      </c>
      <c r="F431" s="1" t="s">
        <v>88</v>
      </c>
      <c r="G431" s="1" t="s">
        <v>89</v>
      </c>
      <c r="H431" s="1" t="s">
        <v>49</v>
      </c>
      <c r="I431" s="1" t="s">
        <v>50</v>
      </c>
      <c r="J431" s="1">
        <v>4</v>
      </c>
      <c r="K431" s="1">
        <v>120</v>
      </c>
      <c r="L431" s="1">
        <v>0.1</v>
      </c>
      <c r="M431" s="1" t="s">
        <v>39</v>
      </c>
      <c r="N431" s="1" t="s">
        <v>32</v>
      </c>
    </row>
    <row r="432" spans="1:14" x14ac:dyDescent="0.25">
      <c r="A432" s="1" t="s">
        <v>694</v>
      </c>
      <c r="B432" s="3" t="s">
        <v>499</v>
      </c>
      <c r="C432" s="1" t="s">
        <v>294</v>
      </c>
      <c r="D432" s="1" t="s">
        <v>36</v>
      </c>
      <c r="E432" s="1">
        <v>31</v>
      </c>
      <c r="F432" s="1" t="s">
        <v>88</v>
      </c>
      <c r="G432" s="1" t="s">
        <v>89</v>
      </c>
      <c r="H432" s="1" t="s">
        <v>73</v>
      </c>
      <c r="I432" s="1" t="s">
        <v>69</v>
      </c>
      <c r="J432" s="1">
        <v>5</v>
      </c>
      <c r="K432" s="1">
        <v>5</v>
      </c>
      <c r="L432" s="1">
        <v>0</v>
      </c>
      <c r="M432" s="1" t="s">
        <v>24</v>
      </c>
      <c r="N432" s="1" t="s">
        <v>32</v>
      </c>
    </row>
    <row r="433" spans="1:14" x14ac:dyDescent="0.25">
      <c r="A433" s="1" t="s">
        <v>695</v>
      </c>
      <c r="B433" s="3" t="s">
        <v>423</v>
      </c>
      <c r="C433" s="1" t="s">
        <v>182</v>
      </c>
      <c r="D433" s="1" t="s">
        <v>19</v>
      </c>
      <c r="E433" s="1">
        <v>27</v>
      </c>
      <c r="F433" s="1" t="s">
        <v>37</v>
      </c>
      <c r="G433" s="1" t="s">
        <v>38</v>
      </c>
      <c r="H433" s="1" t="s">
        <v>79</v>
      </c>
      <c r="I433" s="1" t="s">
        <v>23</v>
      </c>
      <c r="J433" s="1">
        <v>8</v>
      </c>
      <c r="K433" s="1">
        <v>500</v>
      </c>
      <c r="L433" s="1">
        <v>0.05</v>
      </c>
      <c r="M433" s="1" t="s">
        <v>39</v>
      </c>
      <c r="N433" s="1" t="s">
        <v>25</v>
      </c>
    </row>
    <row r="434" spans="1:14" x14ac:dyDescent="0.25">
      <c r="A434" s="1" t="s">
        <v>696</v>
      </c>
      <c r="B434" s="3" t="s">
        <v>411</v>
      </c>
      <c r="C434" s="1" t="s">
        <v>152</v>
      </c>
      <c r="D434" s="1" t="s">
        <v>19</v>
      </c>
      <c r="E434" s="1">
        <v>52</v>
      </c>
      <c r="F434" s="1" t="s">
        <v>29</v>
      </c>
      <c r="G434" s="1" t="s">
        <v>30</v>
      </c>
      <c r="H434" s="1" t="s">
        <v>109</v>
      </c>
      <c r="I434" s="1" t="s">
        <v>50</v>
      </c>
      <c r="J434" s="1">
        <v>6</v>
      </c>
      <c r="K434" s="1">
        <v>80</v>
      </c>
      <c r="L434" s="1">
        <v>0.1</v>
      </c>
      <c r="M434" s="1" t="s">
        <v>45</v>
      </c>
      <c r="N434" s="1" t="s">
        <v>55</v>
      </c>
    </row>
    <row r="435" spans="1:14" x14ac:dyDescent="0.25">
      <c r="A435" s="1" t="s">
        <v>697</v>
      </c>
      <c r="B435" s="3" t="s">
        <v>140</v>
      </c>
      <c r="C435" s="1" t="s">
        <v>152</v>
      </c>
      <c r="D435" s="1" t="s">
        <v>19</v>
      </c>
      <c r="E435" s="1">
        <v>22</v>
      </c>
      <c r="F435" s="1" t="s">
        <v>37</v>
      </c>
      <c r="G435" s="1" t="s">
        <v>38</v>
      </c>
      <c r="H435" s="1" t="s">
        <v>109</v>
      </c>
      <c r="I435" s="1" t="s">
        <v>50</v>
      </c>
      <c r="J435" s="1">
        <v>2</v>
      </c>
      <c r="K435" s="1">
        <v>80</v>
      </c>
      <c r="L435" s="1">
        <v>0.15</v>
      </c>
      <c r="M435" s="1" t="s">
        <v>31</v>
      </c>
      <c r="N435" s="1" t="s">
        <v>51</v>
      </c>
    </row>
    <row r="436" spans="1:14" x14ac:dyDescent="0.25">
      <c r="A436" s="1" t="s">
        <v>698</v>
      </c>
      <c r="B436" s="3" t="s">
        <v>250</v>
      </c>
      <c r="C436" s="1" t="s">
        <v>99</v>
      </c>
      <c r="D436" s="1" t="s">
        <v>19</v>
      </c>
      <c r="E436" s="1">
        <v>19</v>
      </c>
      <c r="F436" s="1" t="s">
        <v>43</v>
      </c>
      <c r="G436" s="1" t="s">
        <v>44</v>
      </c>
      <c r="H436" s="1" t="s">
        <v>118</v>
      </c>
      <c r="I436" s="1" t="s">
        <v>23</v>
      </c>
      <c r="J436" s="1">
        <v>5</v>
      </c>
      <c r="K436" s="1">
        <v>180</v>
      </c>
      <c r="L436" s="1">
        <v>0.15</v>
      </c>
      <c r="M436" s="1" t="s">
        <v>45</v>
      </c>
      <c r="N436" s="1" t="s">
        <v>51</v>
      </c>
    </row>
    <row r="437" spans="1:14" x14ac:dyDescent="0.25">
      <c r="A437" s="1" t="s">
        <v>699</v>
      </c>
      <c r="B437" s="3" t="s">
        <v>700</v>
      </c>
      <c r="C437" s="1" t="s">
        <v>72</v>
      </c>
      <c r="D437" s="1" t="s">
        <v>19</v>
      </c>
      <c r="E437" s="1">
        <v>20</v>
      </c>
      <c r="F437" s="1" t="s">
        <v>37</v>
      </c>
      <c r="G437" s="1" t="s">
        <v>38</v>
      </c>
      <c r="H437" s="1" t="s">
        <v>62</v>
      </c>
      <c r="I437" s="1" t="s">
        <v>23</v>
      </c>
      <c r="J437" s="1">
        <v>8</v>
      </c>
      <c r="K437" s="1">
        <v>15</v>
      </c>
      <c r="L437" s="1">
        <v>0.1</v>
      </c>
      <c r="M437" s="1" t="s">
        <v>39</v>
      </c>
      <c r="N437" s="1" t="s">
        <v>55</v>
      </c>
    </row>
    <row r="438" spans="1:14" x14ac:dyDescent="0.25">
      <c r="A438" s="1" t="s">
        <v>701</v>
      </c>
      <c r="B438" s="3" t="s">
        <v>98</v>
      </c>
      <c r="C438" s="1" t="s">
        <v>92</v>
      </c>
      <c r="D438" s="1" t="s">
        <v>36</v>
      </c>
      <c r="E438" s="1">
        <v>29</v>
      </c>
      <c r="F438" s="1" t="s">
        <v>37</v>
      </c>
      <c r="G438" s="1" t="s">
        <v>38</v>
      </c>
      <c r="H438" s="1" t="s">
        <v>49</v>
      </c>
      <c r="I438" s="1" t="s">
        <v>50</v>
      </c>
      <c r="J438" s="1">
        <v>6</v>
      </c>
      <c r="K438" s="1">
        <v>120</v>
      </c>
      <c r="L438" s="1">
        <v>0.15</v>
      </c>
      <c r="M438" s="1" t="s">
        <v>45</v>
      </c>
      <c r="N438" s="1" t="s">
        <v>55</v>
      </c>
    </row>
    <row r="439" spans="1:14" x14ac:dyDescent="0.25">
      <c r="A439" s="1" t="s">
        <v>702</v>
      </c>
      <c r="B439" s="3" t="s">
        <v>435</v>
      </c>
      <c r="C439" s="1" t="s">
        <v>289</v>
      </c>
      <c r="D439" s="1" t="s">
        <v>36</v>
      </c>
      <c r="E439" s="1">
        <v>29</v>
      </c>
      <c r="F439" s="1" t="s">
        <v>43</v>
      </c>
      <c r="G439" s="1" t="s">
        <v>44</v>
      </c>
      <c r="H439" s="1" t="s">
        <v>68</v>
      </c>
      <c r="I439" s="1" t="s">
        <v>69</v>
      </c>
      <c r="J439" s="1">
        <v>5</v>
      </c>
      <c r="K439" s="1">
        <v>2</v>
      </c>
      <c r="L439" s="1">
        <v>0</v>
      </c>
      <c r="M439" s="1" t="s">
        <v>93</v>
      </c>
      <c r="N439" s="1" t="s">
        <v>55</v>
      </c>
    </row>
    <row r="440" spans="1:14" x14ac:dyDescent="0.25">
      <c r="A440" s="1" t="s">
        <v>703</v>
      </c>
      <c r="B440" s="3" t="s">
        <v>307</v>
      </c>
      <c r="C440" s="1" t="s">
        <v>117</v>
      </c>
      <c r="D440" s="1" t="s">
        <v>19</v>
      </c>
      <c r="E440" s="1">
        <v>51</v>
      </c>
      <c r="F440" s="1" t="s">
        <v>20</v>
      </c>
      <c r="G440" s="1" t="s">
        <v>21</v>
      </c>
      <c r="H440" s="1" t="s">
        <v>62</v>
      </c>
      <c r="I440" s="1" t="s">
        <v>23</v>
      </c>
      <c r="J440" s="1">
        <v>6</v>
      </c>
      <c r="K440" s="1">
        <v>15</v>
      </c>
      <c r="L440" s="1">
        <v>0.1</v>
      </c>
      <c r="M440" s="1" t="s">
        <v>31</v>
      </c>
      <c r="N440" s="1" t="s">
        <v>32</v>
      </c>
    </row>
    <row r="441" spans="1:14" x14ac:dyDescent="0.25">
      <c r="A441" s="1" t="s">
        <v>704</v>
      </c>
      <c r="B441" s="3" t="s">
        <v>415</v>
      </c>
      <c r="C441" s="1" t="s">
        <v>350</v>
      </c>
      <c r="D441" s="1" t="s">
        <v>36</v>
      </c>
      <c r="E441" s="1">
        <v>25</v>
      </c>
      <c r="F441" s="1" t="s">
        <v>20</v>
      </c>
      <c r="G441" s="1" t="s">
        <v>21</v>
      </c>
      <c r="H441" s="1" t="s">
        <v>62</v>
      </c>
      <c r="I441" s="1" t="s">
        <v>23</v>
      </c>
      <c r="J441" s="1">
        <v>3</v>
      </c>
      <c r="K441" s="1">
        <v>15</v>
      </c>
      <c r="L441" s="1">
        <v>0.1</v>
      </c>
      <c r="M441" s="1" t="s">
        <v>45</v>
      </c>
      <c r="N441" s="1" t="s">
        <v>32</v>
      </c>
    </row>
    <row r="442" spans="1:14" x14ac:dyDescent="0.25">
      <c r="A442" s="1" t="s">
        <v>705</v>
      </c>
      <c r="B442" s="3" t="s">
        <v>700</v>
      </c>
      <c r="C442" s="1" t="s">
        <v>87</v>
      </c>
      <c r="D442" s="1" t="s">
        <v>19</v>
      </c>
      <c r="E442" s="1">
        <v>38</v>
      </c>
      <c r="F442" s="1" t="s">
        <v>20</v>
      </c>
      <c r="G442" s="1" t="s">
        <v>21</v>
      </c>
      <c r="H442" s="1" t="s">
        <v>49</v>
      </c>
      <c r="I442" s="1" t="s">
        <v>50</v>
      </c>
      <c r="J442" s="1">
        <v>4</v>
      </c>
      <c r="K442" s="1">
        <v>120</v>
      </c>
      <c r="L442" s="1">
        <v>0</v>
      </c>
      <c r="M442" s="1" t="s">
        <v>58</v>
      </c>
      <c r="N442" s="1" t="s">
        <v>32</v>
      </c>
    </row>
    <row r="443" spans="1:14" x14ac:dyDescent="0.25">
      <c r="A443" s="1" t="s">
        <v>706</v>
      </c>
      <c r="B443" s="3" t="s">
        <v>461</v>
      </c>
      <c r="C443" s="1" t="s">
        <v>233</v>
      </c>
      <c r="D443" s="1" t="s">
        <v>19</v>
      </c>
      <c r="E443" s="1">
        <v>60</v>
      </c>
      <c r="F443" s="1" t="s">
        <v>37</v>
      </c>
      <c r="G443" s="1" t="s">
        <v>38</v>
      </c>
      <c r="H443" s="1" t="s">
        <v>109</v>
      </c>
      <c r="I443" s="1" t="s">
        <v>50</v>
      </c>
      <c r="J443" s="1">
        <v>6</v>
      </c>
      <c r="K443" s="1">
        <v>80</v>
      </c>
      <c r="L443" s="1">
        <v>0</v>
      </c>
      <c r="M443" s="1" t="s">
        <v>39</v>
      </c>
      <c r="N443" s="1" t="s">
        <v>55</v>
      </c>
    </row>
    <row r="444" spans="1:14" x14ac:dyDescent="0.25">
      <c r="A444" s="1" t="s">
        <v>707</v>
      </c>
      <c r="B444" s="3" t="s">
        <v>201</v>
      </c>
      <c r="C444" s="1" t="s">
        <v>180</v>
      </c>
      <c r="D444" s="1" t="s">
        <v>36</v>
      </c>
      <c r="E444" s="1">
        <v>27</v>
      </c>
      <c r="F444" s="1" t="s">
        <v>43</v>
      </c>
      <c r="G444" s="1" t="s">
        <v>44</v>
      </c>
      <c r="H444" s="1" t="s">
        <v>73</v>
      </c>
      <c r="I444" s="1" t="s">
        <v>69</v>
      </c>
      <c r="J444" s="1">
        <v>9</v>
      </c>
      <c r="K444" s="1">
        <v>5</v>
      </c>
      <c r="L444" s="1">
        <v>0.15</v>
      </c>
      <c r="M444" s="1" t="s">
        <v>24</v>
      </c>
      <c r="N444" s="1" t="s">
        <v>32</v>
      </c>
    </row>
    <row r="445" spans="1:14" x14ac:dyDescent="0.25">
      <c r="A445" s="1" t="s">
        <v>708</v>
      </c>
      <c r="B445" s="3" t="s">
        <v>398</v>
      </c>
      <c r="C445" s="1" t="s">
        <v>165</v>
      </c>
      <c r="D445" s="1" t="s">
        <v>19</v>
      </c>
      <c r="E445" s="1">
        <v>23</v>
      </c>
      <c r="F445" s="1" t="s">
        <v>43</v>
      </c>
      <c r="G445" s="1" t="s">
        <v>44</v>
      </c>
      <c r="H445" s="1" t="s">
        <v>118</v>
      </c>
      <c r="I445" s="1" t="s">
        <v>23</v>
      </c>
      <c r="J445" s="1">
        <v>10</v>
      </c>
      <c r="K445" s="1">
        <v>180</v>
      </c>
      <c r="L445" s="1">
        <v>0.15</v>
      </c>
      <c r="M445" s="1" t="s">
        <v>58</v>
      </c>
      <c r="N445" s="1" t="s">
        <v>25</v>
      </c>
    </row>
    <row r="446" spans="1:14" x14ac:dyDescent="0.25">
      <c r="A446" s="1" t="s">
        <v>709</v>
      </c>
      <c r="B446" s="3" t="s">
        <v>599</v>
      </c>
      <c r="C446" s="1" t="s">
        <v>233</v>
      </c>
      <c r="D446" s="1" t="s">
        <v>36</v>
      </c>
      <c r="E446" s="1">
        <v>56</v>
      </c>
      <c r="F446" s="1" t="s">
        <v>43</v>
      </c>
      <c r="G446" s="1" t="s">
        <v>44</v>
      </c>
      <c r="H446" s="1" t="s">
        <v>73</v>
      </c>
      <c r="I446" s="1" t="s">
        <v>69</v>
      </c>
      <c r="J446" s="1">
        <v>10</v>
      </c>
      <c r="K446" s="1">
        <v>5</v>
      </c>
      <c r="L446" s="1">
        <v>0</v>
      </c>
      <c r="M446" s="1" t="s">
        <v>31</v>
      </c>
      <c r="N446" s="1" t="s">
        <v>55</v>
      </c>
    </row>
    <row r="447" spans="1:14" x14ac:dyDescent="0.25">
      <c r="A447" s="1" t="s">
        <v>710</v>
      </c>
      <c r="B447" s="3" t="s">
        <v>212</v>
      </c>
      <c r="C447" s="1" t="s">
        <v>152</v>
      </c>
      <c r="D447" s="1" t="s">
        <v>19</v>
      </c>
      <c r="E447" s="1">
        <v>34</v>
      </c>
      <c r="F447" s="1" t="s">
        <v>88</v>
      </c>
      <c r="G447" s="1" t="s">
        <v>89</v>
      </c>
      <c r="H447" s="1" t="s">
        <v>79</v>
      </c>
      <c r="I447" s="1" t="s">
        <v>23</v>
      </c>
      <c r="J447" s="1">
        <v>4</v>
      </c>
      <c r="K447" s="1">
        <v>500</v>
      </c>
      <c r="L447" s="1">
        <v>0.15</v>
      </c>
      <c r="M447" s="1" t="s">
        <v>39</v>
      </c>
      <c r="N447" s="1" t="s">
        <v>25</v>
      </c>
    </row>
    <row r="448" spans="1:14" x14ac:dyDescent="0.25">
      <c r="A448" s="1" t="s">
        <v>711</v>
      </c>
      <c r="B448" s="3" t="s">
        <v>67</v>
      </c>
      <c r="C448" s="1" t="s">
        <v>223</v>
      </c>
      <c r="D448" s="1" t="s">
        <v>36</v>
      </c>
      <c r="E448" s="1">
        <v>48</v>
      </c>
      <c r="F448" s="1" t="s">
        <v>29</v>
      </c>
      <c r="G448" s="1" t="s">
        <v>30</v>
      </c>
      <c r="H448" s="1" t="s">
        <v>73</v>
      </c>
      <c r="I448" s="1" t="s">
        <v>69</v>
      </c>
      <c r="J448" s="1">
        <v>10</v>
      </c>
      <c r="K448" s="1">
        <v>5</v>
      </c>
      <c r="L448" s="1">
        <v>0</v>
      </c>
      <c r="M448" s="1" t="s">
        <v>58</v>
      </c>
      <c r="N448" s="1" t="s">
        <v>32</v>
      </c>
    </row>
    <row r="449" spans="1:14" x14ac:dyDescent="0.25">
      <c r="A449" s="1" t="s">
        <v>712</v>
      </c>
      <c r="B449" s="3" t="s">
        <v>344</v>
      </c>
      <c r="C449" s="1" t="s">
        <v>268</v>
      </c>
      <c r="D449" s="1" t="s">
        <v>36</v>
      </c>
      <c r="E449" s="1">
        <v>28</v>
      </c>
      <c r="F449" s="1" t="s">
        <v>20</v>
      </c>
      <c r="G449" s="1" t="s">
        <v>21</v>
      </c>
      <c r="H449" s="1" t="s">
        <v>62</v>
      </c>
      <c r="I449" s="1" t="s">
        <v>23</v>
      </c>
      <c r="J449" s="1">
        <v>6</v>
      </c>
      <c r="K449" s="1">
        <v>15</v>
      </c>
      <c r="L449" s="1">
        <v>0.1</v>
      </c>
      <c r="M449" s="1" t="s">
        <v>58</v>
      </c>
      <c r="N449" s="1" t="s">
        <v>51</v>
      </c>
    </row>
    <row r="450" spans="1:14" x14ac:dyDescent="0.25">
      <c r="A450" s="1" t="s">
        <v>713</v>
      </c>
      <c r="B450" s="3" t="s">
        <v>432</v>
      </c>
      <c r="C450" s="1" t="s">
        <v>117</v>
      </c>
      <c r="D450" s="1" t="s">
        <v>36</v>
      </c>
      <c r="E450" s="1">
        <v>37</v>
      </c>
      <c r="F450" s="1" t="s">
        <v>29</v>
      </c>
      <c r="G450" s="1" t="s">
        <v>30</v>
      </c>
      <c r="H450" s="1" t="s">
        <v>73</v>
      </c>
      <c r="I450" s="1" t="s">
        <v>69</v>
      </c>
      <c r="J450" s="1">
        <v>8</v>
      </c>
      <c r="K450" s="1">
        <v>5</v>
      </c>
      <c r="L450" s="1">
        <v>0.1</v>
      </c>
      <c r="M450" s="1" t="s">
        <v>31</v>
      </c>
      <c r="N450" s="1" t="s">
        <v>32</v>
      </c>
    </row>
    <row r="451" spans="1:14" x14ac:dyDescent="0.25">
      <c r="A451" s="1" t="s">
        <v>714</v>
      </c>
      <c r="B451" s="3" t="s">
        <v>499</v>
      </c>
      <c r="C451" s="1" t="s">
        <v>48</v>
      </c>
      <c r="D451" s="1" t="s">
        <v>19</v>
      </c>
      <c r="E451" s="1">
        <v>34</v>
      </c>
      <c r="F451" s="1" t="s">
        <v>37</v>
      </c>
      <c r="G451" s="1" t="s">
        <v>38</v>
      </c>
      <c r="H451" s="1" t="s">
        <v>62</v>
      </c>
      <c r="I451" s="1" t="s">
        <v>23</v>
      </c>
      <c r="J451" s="1">
        <v>4</v>
      </c>
      <c r="K451" s="1">
        <v>15</v>
      </c>
      <c r="L451" s="1">
        <v>0.1</v>
      </c>
      <c r="M451" s="1" t="s">
        <v>24</v>
      </c>
      <c r="N451" s="1" t="s">
        <v>25</v>
      </c>
    </row>
    <row r="452" spans="1:14" x14ac:dyDescent="0.25">
      <c r="A452" s="1" t="s">
        <v>715</v>
      </c>
      <c r="B452" s="3" t="s">
        <v>499</v>
      </c>
      <c r="C452" s="1" t="s">
        <v>350</v>
      </c>
      <c r="D452" s="1" t="s">
        <v>19</v>
      </c>
      <c r="E452" s="1">
        <v>18</v>
      </c>
      <c r="F452" s="1" t="s">
        <v>29</v>
      </c>
      <c r="G452" s="1" t="s">
        <v>30</v>
      </c>
      <c r="H452" s="1" t="s">
        <v>22</v>
      </c>
      <c r="I452" s="1" t="s">
        <v>23</v>
      </c>
      <c r="J452" s="1">
        <v>3</v>
      </c>
      <c r="K452" s="1">
        <v>850</v>
      </c>
      <c r="L452" s="1">
        <v>0.15</v>
      </c>
      <c r="M452" s="1" t="s">
        <v>24</v>
      </c>
      <c r="N452" s="1" t="s">
        <v>32</v>
      </c>
    </row>
    <row r="453" spans="1:14" x14ac:dyDescent="0.25">
      <c r="A453" s="1" t="s">
        <v>716</v>
      </c>
      <c r="B453" s="3" t="s">
        <v>341</v>
      </c>
      <c r="C453" s="1" t="s">
        <v>268</v>
      </c>
      <c r="D453" s="1" t="s">
        <v>19</v>
      </c>
      <c r="E453" s="1">
        <v>37</v>
      </c>
      <c r="F453" s="1" t="s">
        <v>43</v>
      </c>
      <c r="G453" s="1" t="s">
        <v>44</v>
      </c>
      <c r="H453" s="1" t="s">
        <v>118</v>
      </c>
      <c r="I453" s="1" t="s">
        <v>23</v>
      </c>
      <c r="J453" s="1">
        <v>10</v>
      </c>
      <c r="K453" s="1">
        <v>180</v>
      </c>
      <c r="L453" s="1">
        <v>0.05</v>
      </c>
      <c r="M453" s="1" t="s">
        <v>39</v>
      </c>
      <c r="N453" s="1" t="s">
        <v>51</v>
      </c>
    </row>
    <row r="454" spans="1:14" x14ac:dyDescent="0.25">
      <c r="A454" s="1" t="s">
        <v>717</v>
      </c>
      <c r="B454" s="3" t="s">
        <v>371</v>
      </c>
      <c r="C454" s="1" t="s">
        <v>145</v>
      </c>
      <c r="D454" s="1" t="s">
        <v>36</v>
      </c>
      <c r="E454" s="1">
        <v>57</v>
      </c>
      <c r="F454" s="1" t="s">
        <v>43</v>
      </c>
      <c r="G454" s="1" t="s">
        <v>44</v>
      </c>
      <c r="H454" s="1" t="s">
        <v>79</v>
      </c>
      <c r="I454" s="1" t="s">
        <v>23</v>
      </c>
      <c r="J454" s="1">
        <v>2</v>
      </c>
      <c r="K454" s="1">
        <v>500</v>
      </c>
      <c r="L454" s="1">
        <v>0.1</v>
      </c>
      <c r="M454" s="1" t="s">
        <v>24</v>
      </c>
      <c r="N454" s="1" t="s">
        <v>25</v>
      </c>
    </row>
    <row r="455" spans="1:14" x14ac:dyDescent="0.25">
      <c r="A455" s="1" t="s">
        <v>718</v>
      </c>
      <c r="B455" s="3" t="s">
        <v>187</v>
      </c>
      <c r="C455" s="1" t="s">
        <v>152</v>
      </c>
      <c r="D455" s="1" t="s">
        <v>19</v>
      </c>
      <c r="E455" s="1">
        <v>26</v>
      </c>
      <c r="F455" s="1" t="s">
        <v>37</v>
      </c>
      <c r="G455" s="1" t="s">
        <v>38</v>
      </c>
      <c r="H455" s="1" t="s">
        <v>22</v>
      </c>
      <c r="I455" s="1" t="s">
        <v>23</v>
      </c>
      <c r="J455" s="1">
        <v>5</v>
      </c>
      <c r="K455" s="1">
        <v>850</v>
      </c>
      <c r="L455" s="1">
        <v>0.1</v>
      </c>
      <c r="M455" s="1" t="s">
        <v>93</v>
      </c>
      <c r="N455" s="1" t="s">
        <v>51</v>
      </c>
    </row>
    <row r="456" spans="1:14" x14ac:dyDescent="0.25">
      <c r="A456" s="1" t="s">
        <v>719</v>
      </c>
      <c r="B456" s="3" t="s">
        <v>599</v>
      </c>
      <c r="C456" s="1" t="s">
        <v>243</v>
      </c>
      <c r="D456" s="1" t="s">
        <v>36</v>
      </c>
      <c r="E456" s="1">
        <v>53</v>
      </c>
      <c r="F456" s="1" t="s">
        <v>37</v>
      </c>
      <c r="G456" s="1" t="s">
        <v>38</v>
      </c>
      <c r="H456" s="1" t="s">
        <v>22</v>
      </c>
      <c r="I456" s="1" t="s">
        <v>23</v>
      </c>
      <c r="J456" s="1">
        <v>10</v>
      </c>
      <c r="K456" s="1">
        <v>850</v>
      </c>
      <c r="L456" s="1">
        <v>0.1</v>
      </c>
      <c r="M456" s="1" t="s">
        <v>58</v>
      </c>
      <c r="N456" s="1" t="s">
        <v>32</v>
      </c>
    </row>
    <row r="457" spans="1:14" x14ac:dyDescent="0.25">
      <c r="A457" s="1" t="s">
        <v>720</v>
      </c>
      <c r="B457" s="3" t="s">
        <v>681</v>
      </c>
      <c r="C457" s="1" t="s">
        <v>123</v>
      </c>
      <c r="D457" s="1" t="s">
        <v>19</v>
      </c>
      <c r="E457" s="1">
        <v>25</v>
      </c>
      <c r="F457" s="1" t="s">
        <v>43</v>
      </c>
      <c r="G457" s="1" t="s">
        <v>44</v>
      </c>
      <c r="H457" s="1" t="s">
        <v>118</v>
      </c>
      <c r="I457" s="1" t="s">
        <v>23</v>
      </c>
      <c r="J457" s="1">
        <v>9</v>
      </c>
      <c r="K457" s="1">
        <v>180</v>
      </c>
      <c r="L457" s="1">
        <v>0.1</v>
      </c>
      <c r="M457" s="1" t="s">
        <v>31</v>
      </c>
      <c r="N457" s="1" t="s">
        <v>55</v>
      </c>
    </row>
    <row r="458" spans="1:14" x14ac:dyDescent="0.25">
      <c r="A458" s="1" t="s">
        <v>721</v>
      </c>
      <c r="B458" s="3" t="s">
        <v>587</v>
      </c>
      <c r="C458" s="1" t="s">
        <v>108</v>
      </c>
      <c r="D458" s="1" t="s">
        <v>36</v>
      </c>
      <c r="E458" s="1">
        <v>23</v>
      </c>
      <c r="F458" s="1" t="s">
        <v>29</v>
      </c>
      <c r="G458" s="1" t="s">
        <v>30</v>
      </c>
      <c r="H458" s="1" t="s">
        <v>109</v>
      </c>
      <c r="I458" s="1" t="s">
        <v>50</v>
      </c>
      <c r="J458" s="1">
        <v>6</v>
      </c>
      <c r="K458" s="1">
        <v>80</v>
      </c>
      <c r="L458" s="1">
        <v>0.05</v>
      </c>
      <c r="M458" s="1" t="s">
        <v>39</v>
      </c>
      <c r="N458" s="1" t="s">
        <v>32</v>
      </c>
    </row>
    <row r="459" spans="1:14" x14ac:dyDescent="0.25">
      <c r="A459" s="1" t="s">
        <v>722</v>
      </c>
      <c r="B459" s="3" t="s">
        <v>162</v>
      </c>
      <c r="C459" s="1" t="s">
        <v>82</v>
      </c>
      <c r="D459" s="1" t="s">
        <v>36</v>
      </c>
      <c r="E459" s="1">
        <v>51</v>
      </c>
      <c r="F459" s="1" t="s">
        <v>43</v>
      </c>
      <c r="G459" s="1" t="s">
        <v>44</v>
      </c>
      <c r="H459" s="1" t="s">
        <v>109</v>
      </c>
      <c r="I459" s="1" t="s">
        <v>50</v>
      </c>
      <c r="J459" s="1">
        <v>3</v>
      </c>
      <c r="K459" s="1">
        <v>80</v>
      </c>
      <c r="L459" s="1">
        <v>0.1</v>
      </c>
      <c r="M459" s="1" t="s">
        <v>58</v>
      </c>
      <c r="N459" s="1" t="s">
        <v>32</v>
      </c>
    </row>
    <row r="460" spans="1:14" x14ac:dyDescent="0.25">
      <c r="A460" s="1" t="s">
        <v>723</v>
      </c>
      <c r="B460" s="3" t="s">
        <v>344</v>
      </c>
      <c r="C460" s="1" t="s">
        <v>126</v>
      </c>
      <c r="D460" s="1" t="s">
        <v>19</v>
      </c>
      <c r="E460" s="1">
        <v>38</v>
      </c>
      <c r="F460" s="1" t="s">
        <v>88</v>
      </c>
      <c r="G460" s="1" t="s">
        <v>89</v>
      </c>
      <c r="H460" s="1" t="s">
        <v>49</v>
      </c>
      <c r="I460" s="1" t="s">
        <v>50</v>
      </c>
      <c r="J460" s="1">
        <v>9</v>
      </c>
      <c r="K460" s="1">
        <v>120</v>
      </c>
      <c r="L460" s="1">
        <v>0.05</v>
      </c>
      <c r="M460" s="1" t="s">
        <v>58</v>
      </c>
      <c r="N460" s="1" t="s">
        <v>32</v>
      </c>
    </row>
    <row r="461" spans="1:14" x14ac:dyDescent="0.25">
      <c r="A461" s="1" t="s">
        <v>724</v>
      </c>
      <c r="B461" s="3" t="s">
        <v>468</v>
      </c>
      <c r="C461" s="1" t="s">
        <v>54</v>
      </c>
      <c r="D461" s="1" t="s">
        <v>36</v>
      </c>
      <c r="E461" s="1">
        <v>45</v>
      </c>
      <c r="F461" s="1" t="s">
        <v>37</v>
      </c>
      <c r="G461" s="1" t="s">
        <v>38</v>
      </c>
      <c r="H461" s="1" t="s">
        <v>22</v>
      </c>
      <c r="I461" s="1" t="s">
        <v>23</v>
      </c>
      <c r="J461" s="1">
        <v>9</v>
      </c>
      <c r="K461" s="1">
        <v>850</v>
      </c>
      <c r="L461" s="1">
        <v>0</v>
      </c>
      <c r="M461" s="1" t="s">
        <v>31</v>
      </c>
      <c r="N461" s="1" t="s">
        <v>25</v>
      </c>
    </row>
    <row r="462" spans="1:14" x14ac:dyDescent="0.25">
      <c r="A462" s="1" t="s">
        <v>725</v>
      </c>
      <c r="B462" s="3" t="s">
        <v>277</v>
      </c>
      <c r="C462" s="1" t="s">
        <v>28</v>
      </c>
      <c r="D462" s="1" t="s">
        <v>36</v>
      </c>
      <c r="E462" s="1">
        <v>56</v>
      </c>
      <c r="F462" s="1" t="s">
        <v>29</v>
      </c>
      <c r="G462" s="1" t="s">
        <v>30</v>
      </c>
      <c r="H462" s="1" t="s">
        <v>49</v>
      </c>
      <c r="I462" s="1" t="s">
        <v>50</v>
      </c>
      <c r="J462" s="1">
        <v>9</v>
      </c>
      <c r="K462" s="1">
        <v>120</v>
      </c>
      <c r="L462" s="1">
        <v>0</v>
      </c>
      <c r="M462" s="1" t="s">
        <v>24</v>
      </c>
      <c r="N462" s="1" t="s">
        <v>55</v>
      </c>
    </row>
    <row r="463" spans="1:14" x14ac:dyDescent="0.25">
      <c r="A463" s="1" t="s">
        <v>726</v>
      </c>
      <c r="B463" s="3" t="s">
        <v>681</v>
      </c>
      <c r="C463" s="1" t="s">
        <v>65</v>
      </c>
      <c r="D463" s="1" t="s">
        <v>36</v>
      </c>
      <c r="E463" s="1">
        <v>30</v>
      </c>
      <c r="F463" s="1" t="s">
        <v>43</v>
      </c>
      <c r="G463" s="1" t="s">
        <v>44</v>
      </c>
      <c r="H463" s="1" t="s">
        <v>22</v>
      </c>
      <c r="I463" s="1" t="s">
        <v>23</v>
      </c>
      <c r="J463" s="1">
        <v>10</v>
      </c>
      <c r="K463" s="1">
        <v>850</v>
      </c>
      <c r="L463" s="1">
        <v>0.15</v>
      </c>
      <c r="M463" s="1" t="s">
        <v>58</v>
      </c>
      <c r="N463" s="1" t="s">
        <v>25</v>
      </c>
    </row>
    <row r="464" spans="1:14" x14ac:dyDescent="0.25">
      <c r="A464" s="1" t="s">
        <v>727</v>
      </c>
      <c r="B464" s="3" t="s">
        <v>81</v>
      </c>
      <c r="C464" s="1" t="s">
        <v>256</v>
      </c>
      <c r="D464" s="1" t="s">
        <v>36</v>
      </c>
      <c r="E464" s="1">
        <v>51</v>
      </c>
      <c r="F464" s="1" t="s">
        <v>29</v>
      </c>
      <c r="G464" s="1" t="s">
        <v>30</v>
      </c>
      <c r="H464" s="1" t="s">
        <v>73</v>
      </c>
      <c r="I464" s="1" t="s">
        <v>69</v>
      </c>
      <c r="J464" s="1">
        <v>9</v>
      </c>
      <c r="K464" s="1">
        <v>5</v>
      </c>
      <c r="L464" s="1">
        <v>0.1</v>
      </c>
      <c r="M464" s="1" t="s">
        <v>24</v>
      </c>
      <c r="N464" s="1" t="s">
        <v>51</v>
      </c>
    </row>
    <row r="465" spans="1:14" x14ac:dyDescent="0.25">
      <c r="A465" s="1" t="s">
        <v>728</v>
      </c>
      <c r="B465" s="3" t="s">
        <v>393</v>
      </c>
      <c r="C465" s="1" t="s">
        <v>126</v>
      </c>
      <c r="D465" s="1" t="s">
        <v>19</v>
      </c>
      <c r="E465" s="1">
        <v>59</v>
      </c>
      <c r="F465" s="1" t="s">
        <v>43</v>
      </c>
      <c r="G465" s="1" t="s">
        <v>44</v>
      </c>
      <c r="H465" s="1" t="s">
        <v>62</v>
      </c>
      <c r="I465" s="1" t="s">
        <v>23</v>
      </c>
      <c r="J465" s="1">
        <v>4</v>
      </c>
      <c r="K465" s="1">
        <v>15</v>
      </c>
      <c r="L465" s="1">
        <v>0</v>
      </c>
      <c r="M465" s="1" t="s">
        <v>39</v>
      </c>
      <c r="N465" s="1" t="s">
        <v>32</v>
      </c>
    </row>
    <row r="466" spans="1:14" x14ac:dyDescent="0.25">
      <c r="A466" s="1" t="s">
        <v>729</v>
      </c>
      <c r="B466" s="3" t="s">
        <v>579</v>
      </c>
      <c r="C466" s="1" t="s">
        <v>123</v>
      </c>
      <c r="D466" s="1" t="s">
        <v>19</v>
      </c>
      <c r="E466" s="1">
        <v>55</v>
      </c>
      <c r="F466" s="1" t="s">
        <v>37</v>
      </c>
      <c r="G466" s="1" t="s">
        <v>38</v>
      </c>
      <c r="H466" s="1" t="s">
        <v>118</v>
      </c>
      <c r="I466" s="1" t="s">
        <v>23</v>
      </c>
      <c r="J466" s="1">
        <v>10</v>
      </c>
      <c r="K466" s="1">
        <v>180</v>
      </c>
      <c r="L466" s="1">
        <v>0.15</v>
      </c>
      <c r="M466" s="1" t="s">
        <v>93</v>
      </c>
      <c r="N466" s="1" t="s">
        <v>55</v>
      </c>
    </row>
    <row r="467" spans="1:14" x14ac:dyDescent="0.25">
      <c r="A467" s="1" t="s">
        <v>730</v>
      </c>
      <c r="B467" s="3" t="s">
        <v>107</v>
      </c>
      <c r="C467" s="1" t="s">
        <v>155</v>
      </c>
      <c r="D467" s="1" t="s">
        <v>36</v>
      </c>
      <c r="E467" s="1">
        <v>50</v>
      </c>
      <c r="F467" s="1" t="s">
        <v>88</v>
      </c>
      <c r="G467" s="1" t="s">
        <v>89</v>
      </c>
      <c r="H467" s="1" t="s">
        <v>68</v>
      </c>
      <c r="I467" s="1" t="s">
        <v>69</v>
      </c>
      <c r="J467" s="1">
        <v>1</v>
      </c>
      <c r="K467" s="1">
        <v>2</v>
      </c>
      <c r="L467" s="1">
        <v>0.05</v>
      </c>
      <c r="M467" s="1" t="s">
        <v>45</v>
      </c>
      <c r="N467" s="1" t="s">
        <v>51</v>
      </c>
    </row>
    <row r="468" spans="1:14" x14ac:dyDescent="0.25">
      <c r="A468" s="1" t="s">
        <v>731</v>
      </c>
      <c r="B468" s="3" t="s">
        <v>157</v>
      </c>
      <c r="C468" s="1" t="s">
        <v>155</v>
      </c>
      <c r="D468" s="1" t="s">
        <v>19</v>
      </c>
      <c r="E468" s="1">
        <v>20</v>
      </c>
      <c r="F468" s="1" t="s">
        <v>88</v>
      </c>
      <c r="G468" s="1" t="s">
        <v>89</v>
      </c>
      <c r="H468" s="1" t="s">
        <v>49</v>
      </c>
      <c r="I468" s="1" t="s">
        <v>50</v>
      </c>
      <c r="J468" s="1">
        <v>9</v>
      </c>
      <c r="K468" s="1">
        <v>120</v>
      </c>
      <c r="L468" s="1">
        <v>0</v>
      </c>
      <c r="M468" s="1" t="s">
        <v>24</v>
      </c>
      <c r="N468" s="1" t="s">
        <v>55</v>
      </c>
    </row>
    <row r="469" spans="1:14" x14ac:dyDescent="0.25">
      <c r="A469" s="1" t="s">
        <v>732</v>
      </c>
      <c r="B469" s="3" t="s">
        <v>321</v>
      </c>
      <c r="C469" s="1" t="s">
        <v>145</v>
      </c>
      <c r="D469" s="1" t="s">
        <v>36</v>
      </c>
      <c r="E469" s="1">
        <v>28</v>
      </c>
      <c r="F469" s="1" t="s">
        <v>20</v>
      </c>
      <c r="G469" s="1" t="s">
        <v>21</v>
      </c>
      <c r="H469" s="1" t="s">
        <v>62</v>
      </c>
      <c r="I469" s="1" t="s">
        <v>23</v>
      </c>
      <c r="J469" s="1">
        <v>5</v>
      </c>
      <c r="K469" s="1">
        <v>15</v>
      </c>
      <c r="L469" s="1">
        <v>0.15</v>
      </c>
      <c r="M469" s="1" t="s">
        <v>24</v>
      </c>
      <c r="N469" s="1" t="s">
        <v>51</v>
      </c>
    </row>
    <row r="470" spans="1:14" x14ac:dyDescent="0.25">
      <c r="A470" s="1" t="s">
        <v>733</v>
      </c>
      <c r="B470" s="3" t="s">
        <v>138</v>
      </c>
      <c r="C470" s="1" t="s">
        <v>126</v>
      </c>
      <c r="D470" s="1" t="s">
        <v>36</v>
      </c>
      <c r="E470" s="1">
        <v>20</v>
      </c>
      <c r="F470" s="1" t="s">
        <v>29</v>
      </c>
      <c r="G470" s="1" t="s">
        <v>30</v>
      </c>
      <c r="H470" s="1" t="s">
        <v>22</v>
      </c>
      <c r="I470" s="1" t="s">
        <v>23</v>
      </c>
      <c r="J470" s="1">
        <v>8</v>
      </c>
      <c r="K470" s="1">
        <v>850</v>
      </c>
      <c r="L470" s="1">
        <v>0.05</v>
      </c>
      <c r="M470" s="1" t="s">
        <v>31</v>
      </c>
      <c r="N470" s="1" t="s">
        <v>25</v>
      </c>
    </row>
    <row r="471" spans="1:14" x14ac:dyDescent="0.25">
      <c r="A471" s="1" t="s">
        <v>734</v>
      </c>
      <c r="B471" s="3" t="s">
        <v>700</v>
      </c>
      <c r="C471" s="1" t="s">
        <v>61</v>
      </c>
      <c r="D471" s="1" t="s">
        <v>19</v>
      </c>
      <c r="E471" s="1">
        <v>20</v>
      </c>
      <c r="F471" s="1" t="s">
        <v>29</v>
      </c>
      <c r="G471" s="1" t="s">
        <v>30</v>
      </c>
      <c r="H471" s="1" t="s">
        <v>118</v>
      </c>
      <c r="I471" s="1" t="s">
        <v>23</v>
      </c>
      <c r="J471" s="1">
        <v>1</v>
      </c>
      <c r="K471" s="1">
        <v>180</v>
      </c>
      <c r="L471" s="1">
        <v>0.05</v>
      </c>
      <c r="M471" s="1" t="s">
        <v>24</v>
      </c>
      <c r="N471" s="1" t="s">
        <v>55</v>
      </c>
    </row>
    <row r="472" spans="1:14" x14ac:dyDescent="0.25">
      <c r="A472" s="1" t="s">
        <v>735</v>
      </c>
      <c r="B472" s="3" t="s">
        <v>613</v>
      </c>
      <c r="C472" s="1" t="s">
        <v>243</v>
      </c>
      <c r="D472" s="1" t="s">
        <v>36</v>
      </c>
      <c r="E472" s="1">
        <v>38</v>
      </c>
      <c r="F472" s="1" t="s">
        <v>20</v>
      </c>
      <c r="G472" s="1" t="s">
        <v>21</v>
      </c>
      <c r="H472" s="1" t="s">
        <v>22</v>
      </c>
      <c r="I472" s="1" t="s">
        <v>23</v>
      </c>
      <c r="J472" s="1">
        <v>10</v>
      </c>
      <c r="K472" s="1">
        <v>850</v>
      </c>
      <c r="L472" s="1">
        <v>0.1</v>
      </c>
      <c r="M472" s="1" t="s">
        <v>31</v>
      </c>
      <c r="N472" s="1" t="s">
        <v>25</v>
      </c>
    </row>
    <row r="473" spans="1:14" x14ac:dyDescent="0.25">
      <c r="A473" s="1" t="s">
        <v>736</v>
      </c>
      <c r="B473" s="3" t="s">
        <v>349</v>
      </c>
      <c r="C473" s="1" t="s">
        <v>152</v>
      </c>
      <c r="D473" s="1" t="s">
        <v>36</v>
      </c>
      <c r="E473" s="1">
        <v>41</v>
      </c>
      <c r="F473" s="1" t="s">
        <v>37</v>
      </c>
      <c r="G473" s="1" t="s">
        <v>38</v>
      </c>
      <c r="H473" s="1" t="s">
        <v>79</v>
      </c>
      <c r="I473" s="1" t="s">
        <v>23</v>
      </c>
      <c r="J473" s="1">
        <v>8</v>
      </c>
      <c r="K473" s="1">
        <v>500</v>
      </c>
      <c r="L473" s="1">
        <v>0.05</v>
      </c>
      <c r="M473" s="1" t="s">
        <v>31</v>
      </c>
      <c r="N473" s="1" t="s">
        <v>51</v>
      </c>
    </row>
    <row r="474" spans="1:14" x14ac:dyDescent="0.25">
      <c r="A474" s="1" t="s">
        <v>737</v>
      </c>
      <c r="B474" s="3" t="s">
        <v>253</v>
      </c>
      <c r="C474" s="1" t="s">
        <v>152</v>
      </c>
      <c r="D474" s="1" t="s">
        <v>36</v>
      </c>
      <c r="E474" s="1">
        <v>33</v>
      </c>
      <c r="F474" s="1" t="s">
        <v>20</v>
      </c>
      <c r="G474" s="1" t="s">
        <v>21</v>
      </c>
      <c r="H474" s="1" t="s">
        <v>49</v>
      </c>
      <c r="I474" s="1" t="s">
        <v>50</v>
      </c>
      <c r="J474" s="1">
        <v>2</v>
      </c>
      <c r="K474" s="1">
        <v>120</v>
      </c>
      <c r="L474" s="1">
        <v>0.05</v>
      </c>
      <c r="M474" s="1" t="s">
        <v>31</v>
      </c>
      <c r="N474" s="1" t="s">
        <v>51</v>
      </c>
    </row>
    <row r="475" spans="1:14" x14ac:dyDescent="0.25">
      <c r="A475" s="1" t="s">
        <v>738</v>
      </c>
      <c r="B475" s="3" t="s">
        <v>185</v>
      </c>
      <c r="C475" s="1" t="s">
        <v>182</v>
      </c>
      <c r="D475" s="1" t="s">
        <v>36</v>
      </c>
      <c r="E475" s="1">
        <v>27</v>
      </c>
      <c r="F475" s="1" t="s">
        <v>29</v>
      </c>
      <c r="G475" s="1" t="s">
        <v>30</v>
      </c>
      <c r="H475" s="1" t="s">
        <v>73</v>
      </c>
      <c r="I475" s="1" t="s">
        <v>69</v>
      </c>
      <c r="J475" s="1">
        <v>10</v>
      </c>
      <c r="K475" s="1">
        <v>5</v>
      </c>
      <c r="L475" s="1">
        <v>0</v>
      </c>
      <c r="M475" s="1" t="s">
        <v>31</v>
      </c>
      <c r="N475" s="1" t="s">
        <v>25</v>
      </c>
    </row>
    <row r="476" spans="1:14" x14ac:dyDescent="0.25">
      <c r="A476" s="1" t="s">
        <v>739</v>
      </c>
      <c r="B476" s="3" t="s">
        <v>613</v>
      </c>
      <c r="C476" s="1" t="s">
        <v>117</v>
      </c>
      <c r="D476" s="1" t="s">
        <v>36</v>
      </c>
      <c r="E476" s="1">
        <v>40</v>
      </c>
      <c r="F476" s="1" t="s">
        <v>43</v>
      </c>
      <c r="G476" s="1" t="s">
        <v>44</v>
      </c>
      <c r="H476" s="1" t="s">
        <v>109</v>
      </c>
      <c r="I476" s="1" t="s">
        <v>50</v>
      </c>
      <c r="J476" s="1">
        <v>7</v>
      </c>
      <c r="K476" s="1">
        <v>80</v>
      </c>
      <c r="L476" s="1">
        <v>0.15</v>
      </c>
      <c r="M476" s="1" t="s">
        <v>58</v>
      </c>
      <c r="N476" s="1" t="s">
        <v>55</v>
      </c>
    </row>
    <row r="477" spans="1:14" x14ac:dyDescent="0.25">
      <c r="A477" s="1" t="s">
        <v>740</v>
      </c>
      <c r="B477" s="3" t="s">
        <v>237</v>
      </c>
      <c r="C477" s="1" t="s">
        <v>240</v>
      </c>
      <c r="D477" s="1" t="s">
        <v>19</v>
      </c>
      <c r="E477" s="1">
        <v>42</v>
      </c>
      <c r="F477" s="1" t="s">
        <v>37</v>
      </c>
      <c r="G477" s="1" t="s">
        <v>38</v>
      </c>
      <c r="H477" s="1" t="s">
        <v>73</v>
      </c>
      <c r="I477" s="1" t="s">
        <v>69</v>
      </c>
      <c r="J477" s="1">
        <v>5</v>
      </c>
      <c r="K477" s="1">
        <v>5</v>
      </c>
      <c r="L477" s="1">
        <v>0.1</v>
      </c>
      <c r="M477" s="1" t="s">
        <v>31</v>
      </c>
      <c r="N477" s="1" t="s">
        <v>55</v>
      </c>
    </row>
    <row r="478" spans="1:14" x14ac:dyDescent="0.25">
      <c r="A478" s="1" t="s">
        <v>741</v>
      </c>
      <c r="B478" s="3" t="s">
        <v>201</v>
      </c>
      <c r="C478" s="1" t="s">
        <v>48</v>
      </c>
      <c r="D478" s="1" t="s">
        <v>19</v>
      </c>
      <c r="E478" s="1">
        <v>23</v>
      </c>
      <c r="F478" s="1" t="s">
        <v>37</v>
      </c>
      <c r="G478" s="1" t="s">
        <v>38</v>
      </c>
      <c r="H478" s="1" t="s">
        <v>22</v>
      </c>
      <c r="I478" s="1" t="s">
        <v>23</v>
      </c>
      <c r="J478" s="1">
        <v>1</v>
      </c>
      <c r="K478" s="1">
        <v>850</v>
      </c>
      <c r="L478" s="1">
        <v>0.1</v>
      </c>
      <c r="M478" s="1" t="s">
        <v>31</v>
      </c>
      <c r="N478" s="1" t="s">
        <v>55</v>
      </c>
    </row>
    <row r="479" spans="1:14" x14ac:dyDescent="0.25">
      <c r="A479" s="1" t="s">
        <v>742</v>
      </c>
      <c r="B479" s="3" t="s">
        <v>138</v>
      </c>
      <c r="C479" s="1" t="s">
        <v>350</v>
      </c>
      <c r="D479" s="1" t="s">
        <v>36</v>
      </c>
      <c r="E479" s="1">
        <v>51</v>
      </c>
      <c r="F479" s="1" t="s">
        <v>29</v>
      </c>
      <c r="G479" s="1" t="s">
        <v>30</v>
      </c>
      <c r="H479" s="1" t="s">
        <v>79</v>
      </c>
      <c r="I479" s="1" t="s">
        <v>23</v>
      </c>
      <c r="J479" s="1">
        <v>6</v>
      </c>
      <c r="K479" s="1">
        <v>500</v>
      </c>
      <c r="L479" s="1">
        <v>0.05</v>
      </c>
      <c r="M479" s="1" t="s">
        <v>39</v>
      </c>
      <c r="N479" s="1" t="s">
        <v>32</v>
      </c>
    </row>
    <row r="480" spans="1:14" x14ac:dyDescent="0.25">
      <c r="A480" s="1" t="s">
        <v>743</v>
      </c>
      <c r="B480" s="3" t="s">
        <v>128</v>
      </c>
      <c r="C480" s="1" t="s">
        <v>251</v>
      </c>
      <c r="D480" s="1" t="s">
        <v>19</v>
      </c>
      <c r="E480" s="1">
        <v>30</v>
      </c>
      <c r="F480" s="1" t="s">
        <v>20</v>
      </c>
      <c r="G480" s="1" t="s">
        <v>21</v>
      </c>
      <c r="H480" s="1" t="s">
        <v>109</v>
      </c>
      <c r="I480" s="1" t="s">
        <v>50</v>
      </c>
      <c r="J480" s="1">
        <v>3</v>
      </c>
      <c r="K480" s="1">
        <v>80</v>
      </c>
      <c r="L480" s="1">
        <v>0.15</v>
      </c>
      <c r="M480" s="1" t="s">
        <v>31</v>
      </c>
      <c r="N480" s="1" t="s">
        <v>32</v>
      </c>
    </row>
    <row r="481" spans="1:14" x14ac:dyDescent="0.25">
      <c r="A481" s="1" t="s">
        <v>744</v>
      </c>
      <c r="B481" s="3" t="s">
        <v>474</v>
      </c>
      <c r="C481" s="1" t="s">
        <v>72</v>
      </c>
      <c r="D481" s="1" t="s">
        <v>36</v>
      </c>
      <c r="E481" s="1">
        <v>34</v>
      </c>
      <c r="F481" s="1" t="s">
        <v>29</v>
      </c>
      <c r="G481" s="1" t="s">
        <v>30</v>
      </c>
      <c r="H481" s="1" t="s">
        <v>68</v>
      </c>
      <c r="I481" s="1" t="s">
        <v>69</v>
      </c>
      <c r="J481" s="1">
        <v>9</v>
      </c>
      <c r="K481" s="1">
        <v>2</v>
      </c>
      <c r="L481" s="1">
        <v>0</v>
      </c>
      <c r="M481" s="1" t="s">
        <v>45</v>
      </c>
      <c r="N481" s="1" t="s">
        <v>32</v>
      </c>
    </row>
    <row r="482" spans="1:14" x14ac:dyDescent="0.25">
      <c r="A482" s="1" t="s">
        <v>745</v>
      </c>
      <c r="B482" s="3" t="s">
        <v>235</v>
      </c>
      <c r="C482" s="1" t="s">
        <v>108</v>
      </c>
      <c r="D482" s="1" t="s">
        <v>19</v>
      </c>
      <c r="E482" s="1">
        <v>51</v>
      </c>
      <c r="F482" s="1" t="s">
        <v>43</v>
      </c>
      <c r="G482" s="1" t="s">
        <v>44</v>
      </c>
      <c r="H482" s="1" t="s">
        <v>49</v>
      </c>
      <c r="I482" s="1" t="s">
        <v>50</v>
      </c>
      <c r="J482" s="1">
        <v>5</v>
      </c>
      <c r="K482" s="1">
        <v>120</v>
      </c>
      <c r="L482" s="1">
        <v>0</v>
      </c>
      <c r="M482" s="1" t="s">
        <v>24</v>
      </c>
      <c r="N482" s="1" t="s">
        <v>25</v>
      </c>
    </row>
    <row r="483" spans="1:14" x14ac:dyDescent="0.25">
      <c r="A483" s="1" t="s">
        <v>746</v>
      </c>
      <c r="B483" s="3" t="s">
        <v>179</v>
      </c>
      <c r="C483" s="1" t="s">
        <v>105</v>
      </c>
      <c r="D483" s="1" t="s">
        <v>19</v>
      </c>
      <c r="E483" s="1">
        <v>20</v>
      </c>
      <c r="F483" s="1" t="s">
        <v>88</v>
      </c>
      <c r="G483" s="1" t="s">
        <v>89</v>
      </c>
      <c r="H483" s="1" t="s">
        <v>62</v>
      </c>
      <c r="I483" s="1" t="s">
        <v>23</v>
      </c>
      <c r="J483" s="1">
        <v>7</v>
      </c>
      <c r="K483" s="1">
        <v>15</v>
      </c>
      <c r="L483" s="1">
        <v>0.05</v>
      </c>
      <c r="M483" s="1" t="s">
        <v>39</v>
      </c>
      <c r="N483" s="1" t="s">
        <v>25</v>
      </c>
    </row>
    <row r="484" spans="1:14" x14ac:dyDescent="0.25">
      <c r="A484" s="1" t="s">
        <v>747</v>
      </c>
      <c r="B484" s="3" t="s">
        <v>57</v>
      </c>
      <c r="C484" s="1" t="s">
        <v>82</v>
      </c>
      <c r="D484" s="1" t="s">
        <v>36</v>
      </c>
      <c r="E484" s="1">
        <v>39</v>
      </c>
      <c r="F484" s="1" t="s">
        <v>29</v>
      </c>
      <c r="G484" s="1" t="s">
        <v>30</v>
      </c>
      <c r="H484" s="1" t="s">
        <v>79</v>
      </c>
      <c r="I484" s="1" t="s">
        <v>23</v>
      </c>
      <c r="J484" s="1">
        <v>8</v>
      </c>
      <c r="K484" s="1">
        <v>500</v>
      </c>
      <c r="L484" s="1">
        <v>0</v>
      </c>
      <c r="M484" s="1" t="s">
        <v>93</v>
      </c>
      <c r="N484" s="1" t="s">
        <v>25</v>
      </c>
    </row>
    <row r="485" spans="1:14" x14ac:dyDescent="0.25">
      <c r="A485" s="1" t="s">
        <v>748</v>
      </c>
      <c r="B485" s="3" t="s">
        <v>170</v>
      </c>
      <c r="C485" s="1" t="s">
        <v>65</v>
      </c>
      <c r="D485" s="1" t="s">
        <v>36</v>
      </c>
      <c r="E485" s="1">
        <v>41</v>
      </c>
      <c r="F485" s="1" t="s">
        <v>88</v>
      </c>
      <c r="G485" s="1" t="s">
        <v>89</v>
      </c>
      <c r="H485" s="1" t="s">
        <v>62</v>
      </c>
      <c r="I485" s="1" t="s">
        <v>23</v>
      </c>
      <c r="J485" s="1">
        <v>8</v>
      </c>
      <c r="K485" s="1">
        <v>15</v>
      </c>
      <c r="L485" s="1">
        <v>0.05</v>
      </c>
      <c r="M485" s="1" t="s">
        <v>93</v>
      </c>
      <c r="N485" s="1" t="s">
        <v>32</v>
      </c>
    </row>
    <row r="486" spans="1:14" x14ac:dyDescent="0.25">
      <c r="A486" s="1" t="s">
        <v>749</v>
      </c>
      <c r="B486" s="3" t="s">
        <v>193</v>
      </c>
      <c r="C486" s="1" t="s">
        <v>126</v>
      </c>
      <c r="D486" s="1" t="s">
        <v>36</v>
      </c>
      <c r="E486" s="1">
        <v>58</v>
      </c>
      <c r="F486" s="1" t="s">
        <v>20</v>
      </c>
      <c r="G486" s="1" t="s">
        <v>21</v>
      </c>
      <c r="H486" s="1" t="s">
        <v>68</v>
      </c>
      <c r="I486" s="1" t="s">
        <v>69</v>
      </c>
      <c r="J486" s="1">
        <v>10</v>
      </c>
      <c r="K486" s="1">
        <v>2</v>
      </c>
      <c r="L486" s="1">
        <v>0.1</v>
      </c>
      <c r="M486" s="1" t="s">
        <v>58</v>
      </c>
      <c r="N486" s="1" t="s">
        <v>32</v>
      </c>
    </row>
    <row r="487" spans="1:14" x14ac:dyDescent="0.25">
      <c r="A487" s="1" t="s">
        <v>750</v>
      </c>
      <c r="B487" s="3" t="s">
        <v>751</v>
      </c>
      <c r="C487" s="1" t="s">
        <v>108</v>
      </c>
      <c r="D487" s="1" t="s">
        <v>36</v>
      </c>
      <c r="E487" s="1">
        <v>41</v>
      </c>
      <c r="F487" s="1" t="s">
        <v>88</v>
      </c>
      <c r="G487" s="1" t="s">
        <v>89</v>
      </c>
      <c r="H487" s="1" t="s">
        <v>118</v>
      </c>
      <c r="I487" s="1" t="s">
        <v>23</v>
      </c>
      <c r="J487" s="1">
        <v>2</v>
      </c>
      <c r="K487" s="1">
        <v>180</v>
      </c>
      <c r="L487" s="1">
        <v>0.05</v>
      </c>
      <c r="M487" s="1" t="s">
        <v>93</v>
      </c>
      <c r="N487" s="1" t="s">
        <v>25</v>
      </c>
    </row>
    <row r="488" spans="1:14" x14ac:dyDescent="0.25">
      <c r="A488" s="1" t="s">
        <v>752</v>
      </c>
      <c r="B488" s="3" t="s">
        <v>572</v>
      </c>
      <c r="C488" s="1" t="s">
        <v>233</v>
      </c>
      <c r="D488" s="1" t="s">
        <v>19</v>
      </c>
      <c r="E488" s="1">
        <v>23</v>
      </c>
      <c r="F488" s="1" t="s">
        <v>37</v>
      </c>
      <c r="G488" s="1" t="s">
        <v>38</v>
      </c>
      <c r="H488" s="1" t="s">
        <v>109</v>
      </c>
      <c r="I488" s="1" t="s">
        <v>50</v>
      </c>
      <c r="J488" s="1">
        <v>10</v>
      </c>
      <c r="K488" s="1">
        <v>80</v>
      </c>
      <c r="L488" s="1">
        <v>0.15</v>
      </c>
      <c r="M488" s="1" t="s">
        <v>24</v>
      </c>
      <c r="N488" s="1" t="s">
        <v>25</v>
      </c>
    </row>
    <row r="489" spans="1:14" x14ac:dyDescent="0.25">
      <c r="A489" s="1" t="s">
        <v>753</v>
      </c>
      <c r="B489" s="3" t="s">
        <v>77</v>
      </c>
      <c r="C489" s="1" t="s">
        <v>114</v>
      </c>
      <c r="D489" s="1" t="s">
        <v>19</v>
      </c>
      <c r="E489" s="1">
        <v>36</v>
      </c>
      <c r="F489" s="1" t="s">
        <v>37</v>
      </c>
      <c r="G489" s="1" t="s">
        <v>38</v>
      </c>
      <c r="H489" s="1" t="s">
        <v>109</v>
      </c>
      <c r="I489" s="1" t="s">
        <v>50</v>
      </c>
      <c r="J489" s="1">
        <v>9</v>
      </c>
      <c r="K489" s="1">
        <v>80</v>
      </c>
      <c r="L489" s="1">
        <v>0.05</v>
      </c>
      <c r="M489" s="1" t="s">
        <v>45</v>
      </c>
      <c r="N489" s="1" t="s">
        <v>51</v>
      </c>
    </row>
    <row r="490" spans="1:14" x14ac:dyDescent="0.25">
      <c r="A490" s="1" t="s">
        <v>754</v>
      </c>
      <c r="B490" s="3" t="s">
        <v>435</v>
      </c>
      <c r="C490" s="1" t="s">
        <v>149</v>
      </c>
      <c r="D490" s="1" t="s">
        <v>19</v>
      </c>
      <c r="E490" s="1">
        <v>25</v>
      </c>
      <c r="F490" s="1" t="s">
        <v>37</v>
      </c>
      <c r="G490" s="1" t="s">
        <v>38</v>
      </c>
      <c r="H490" s="1" t="s">
        <v>109</v>
      </c>
      <c r="I490" s="1" t="s">
        <v>50</v>
      </c>
      <c r="J490" s="1">
        <v>6</v>
      </c>
      <c r="K490" s="1">
        <v>80</v>
      </c>
      <c r="L490" s="1">
        <v>0</v>
      </c>
      <c r="M490" s="1" t="s">
        <v>93</v>
      </c>
      <c r="N490" s="1" t="s">
        <v>51</v>
      </c>
    </row>
    <row r="491" spans="1:14" x14ac:dyDescent="0.25">
      <c r="A491" s="1" t="s">
        <v>755</v>
      </c>
      <c r="B491" s="3" t="s">
        <v>291</v>
      </c>
      <c r="C491" s="1" t="s">
        <v>87</v>
      </c>
      <c r="D491" s="1" t="s">
        <v>36</v>
      </c>
      <c r="E491" s="1">
        <v>35</v>
      </c>
      <c r="F491" s="1" t="s">
        <v>43</v>
      </c>
      <c r="G491" s="1" t="s">
        <v>44</v>
      </c>
      <c r="H491" s="1" t="s">
        <v>118</v>
      </c>
      <c r="I491" s="1" t="s">
        <v>23</v>
      </c>
      <c r="J491" s="1">
        <v>1</v>
      </c>
      <c r="K491" s="1">
        <v>180</v>
      </c>
      <c r="L491" s="1">
        <v>0.1</v>
      </c>
      <c r="M491" s="1" t="s">
        <v>93</v>
      </c>
      <c r="N491" s="1" t="s">
        <v>32</v>
      </c>
    </row>
    <row r="492" spans="1:14" x14ac:dyDescent="0.25">
      <c r="A492" s="1" t="s">
        <v>756</v>
      </c>
      <c r="B492" s="3" t="s">
        <v>219</v>
      </c>
      <c r="C492" s="1" t="s">
        <v>268</v>
      </c>
      <c r="D492" s="1" t="s">
        <v>19</v>
      </c>
      <c r="E492" s="1">
        <v>43</v>
      </c>
      <c r="F492" s="1" t="s">
        <v>20</v>
      </c>
      <c r="G492" s="1" t="s">
        <v>21</v>
      </c>
      <c r="H492" s="1" t="s">
        <v>62</v>
      </c>
      <c r="I492" s="1" t="s">
        <v>23</v>
      </c>
      <c r="J492" s="1">
        <v>7</v>
      </c>
      <c r="K492" s="1">
        <v>15</v>
      </c>
      <c r="L492" s="1">
        <v>0.05</v>
      </c>
      <c r="M492" s="1" t="s">
        <v>24</v>
      </c>
      <c r="N492" s="1" t="s">
        <v>55</v>
      </c>
    </row>
    <row r="493" spans="1:14" x14ac:dyDescent="0.25">
      <c r="A493" s="1" t="s">
        <v>757</v>
      </c>
      <c r="B493" s="3" t="s">
        <v>375</v>
      </c>
      <c r="C493" s="1" t="s">
        <v>28</v>
      </c>
      <c r="D493" s="1" t="s">
        <v>36</v>
      </c>
      <c r="E493" s="1">
        <v>43</v>
      </c>
      <c r="F493" s="1" t="s">
        <v>37</v>
      </c>
      <c r="G493" s="1" t="s">
        <v>38</v>
      </c>
      <c r="H493" s="1" t="s">
        <v>22</v>
      </c>
      <c r="I493" s="1" t="s">
        <v>23</v>
      </c>
      <c r="J493" s="1">
        <v>8</v>
      </c>
      <c r="K493" s="1">
        <v>850</v>
      </c>
      <c r="L493" s="1">
        <v>0.15</v>
      </c>
      <c r="M493" s="1" t="s">
        <v>31</v>
      </c>
      <c r="N493" s="1" t="s">
        <v>55</v>
      </c>
    </row>
    <row r="494" spans="1:14" x14ac:dyDescent="0.25">
      <c r="A494" s="1" t="s">
        <v>758</v>
      </c>
      <c r="B494" s="3" t="s">
        <v>219</v>
      </c>
      <c r="C494" s="1" t="s">
        <v>96</v>
      </c>
      <c r="D494" s="1" t="s">
        <v>19</v>
      </c>
      <c r="E494" s="1">
        <v>33</v>
      </c>
      <c r="F494" s="1" t="s">
        <v>20</v>
      </c>
      <c r="G494" s="1" t="s">
        <v>21</v>
      </c>
      <c r="H494" s="1" t="s">
        <v>118</v>
      </c>
      <c r="I494" s="1" t="s">
        <v>23</v>
      </c>
      <c r="J494" s="1">
        <v>7</v>
      </c>
      <c r="K494" s="1">
        <v>180</v>
      </c>
      <c r="L494" s="1">
        <v>0.1</v>
      </c>
      <c r="M494" s="1" t="s">
        <v>24</v>
      </c>
      <c r="N494" s="1" t="s">
        <v>32</v>
      </c>
    </row>
    <row r="495" spans="1:14" x14ac:dyDescent="0.25">
      <c r="A495" s="1" t="s">
        <v>759</v>
      </c>
      <c r="B495" s="3" t="s">
        <v>225</v>
      </c>
      <c r="C495" s="1" t="s">
        <v>188</v>
      </c>
      <c r="D495" s="1" t="s">
        <v>36</v>
      </c>
      <c r="E495" s="1">
        <v>31</v>
      </c>
      <c r="F495" s="1" t="s">
        <v>29</v>
      </c>
      <c r="G495" s="1" t="s">
        <v>30</v>
      </c>
      <c r="H495" s="1" t="s">
        <v>62</v>
      </c>
      <c r="I495" s="1" t="s">
        <v>23</v>
      </c>
      <c r="J495" s="1">
        <v>2</v>
      </c>
      <c r="K495" s="1">
        <v>15</v>
      </c>
      <c r="L495" s="1">
        <v>0.05</v>
      </c>
      <c r="M495" s="1" t="s">
        <v>24</v>
      </c>
      <c r="N495" s="1" t="s">
        <v>51</v>
      </c>
    </row>
    <row r="496" spans="1:14" x14ac:dyDescent="0.25">
      <c r="A496" s="1" t="s">
        <v>760</v>
      </c>
      <c r="B496" s="3" t="s">
        <v>637</v>
      </c>
      <c r="C496" s="1" t="s">
        <v>78</v>
      </c>
      <c r="D496" s="1" t="s">
        <v>36</v>
      </c>
      <c r="E496" s="1">
        <v>51</v>
      </c>
      <c r="F496" s="1" t="s">
        <v>88</v>
      </c>
      <c r="G496" s="1" t="s">
        <v>89</v>
      </c>
      <c r="H496" s="1" t="s">
        <v>118</v>
      </c>
      <c r="I496" s="1" t="s">
        <v>23</v>
      </c>
      <c r="J496" s="1">
        <v>3</v>
      </c>
      <c r="K496" s="1">
        <v>180</v>
      </c>
      <c r="L496" s="1">
        <v>0.05</v>
      </c>
      <c r="M496" s="1" t="s">
        <v>93</v>
      </c>
      <c r="N496" s="1" t="s">
        <v>51</v>
      </c>
    </row>
    <row r="497" spans="1:14" x14ac:dyDescent="0.25">
      <c r="A497" s="1" t="s">
        <v>761</v>
      </c>
      <c r="B497" s="3" t="s">
        <v>393</v>
      </c>
      <c r="C497" s="1" t="s">
        <v>155</v>
      </c>
      <c r="D497" s="1" t="s">
        <v>19</v>
      </c>
      <c r="E497" s="1">
        <v>26</v>
      </c>
      <c r="F497" s="1" t="s">
        <v>88</v>
      </c>
      <c r="G497" s="1" t="s">
        <v>89</v>
      </c>
      <c r="H497" s="1" t="s">
        <v>49</v>
      </c>
      <c r="I497" s="1" t="s">
        <v>50</v>
      </c>
      <c r="J497" s="1">
        <v>1</v>
      </c>
      <c r="K497" s="1">
        <v>120</v>
      </c>
      <c r="L497" s="1">
        <v>0.1</v>
      </c>
      <c r="M497" s="1" t="s">
        <v>39</v>
      </c>
      <c r="N497" s="1" t="s">
        <v>25</v>
      </c>
    </row>
    <row r="498" spans="1:14" x14ac:dyDescent="0.25">
      <c r="A498" s="1" t="s">
        <v>762</v>
      </c>
      <c r="B498" s="3" t="s">
        <v>138</v>
      </c>
      <c r="C498" s="1" t="s">
        <v>117</v>
      </c>
      <c r="D498" s="1" t="s">
        <v>19</v>
      </c>
      <c r="E498" s="1">
        <v>37</v>
      </c>
      <c r="F498" s="1" t="s">
        <v>29</v>
      </c>
      <c r="G498" s="1" t="s">
        <v>30</v>
      </c>
      <c r="H498" s="1" t="s">
        <v>68</v>
      </c>
      <c r="I498" s="1" t="s">
        <v>69</v>
      </c>
      <c r="J498" s="1">
        <v>9</v>
      </c>
      <c r="K498" s="1">
        <v>2</v>
      </c>
      <c r="L498" s="1">
        <v>0.15</v>
      </c>
      <c r="M498" s="1" t="s">
        <v>24</v>
      </c>
      <c r="N498" s="1" t="s">
        <v>25</v>
      </c>
    </row>
    <row r="499" spans="1:14" x14ac:dyDescent="0.25">
      <c r="A499" s="1" t="s">
        <v>763</v>
      </c>
      <c r="B499" s="3" t="s">
        <v>390</v>
      </c>
      <c r="C499" s="1" t="s">
        <v>350</v>
      </c>
      <c r="D499" s="1" t="s">
        <v>19</v>
      </c>
      <c r="E499" s="1">
        <v>31</v>
      </c>
      <c r="F499" s="1" t="s">
        <v>20</v>
      </c>
      <c r="G499" s="1" t="s">
        <v>21</v>
      </c>
      <c r="H499" s="1" t="s">
        <v>118</v>
      </c>
      <c r="I499" s="1" t="s">
        <v>23</v>
      </c>
      <c r="J499" s="1">
        <v>3</v>
      </c>
      <c r="K499" s="1">
        <v>180</v>
      </c>
      <c r="L499" s="1">
        <v>0</v>
      </c>
      <c r="M499" s="1" t="s">
        <v>39</v>
      </c>
      <c r="N499" s="1" t="s">
        <v>55</v>
      </c>
    </row>
    <row r="500" spans="1:14" x14ac:dyDescent="0.25">
      <c r="A500" s="1" t="s">
        <v>764</v>
      </c>
      <c r="B500" s="3" t="s">
        <v>265</v>
      </c>
      <c r="C500" s="1" t="s">
        <v>152</v>
      </c>
      <c r="D500" s="1" t="s">
        <v>36</v>
      </c>
      <c r="E500" s="1">
        <v>28</v>
      </c>
      <c r="F500" s="1" t="s">
        <v>37</v>
      </c>
      <c r="G500" s="1" t="s">
        <v>38</v>
      </c>
      <c r="H500" s="1" t="s">
        <v>22</v>
      </c>
      <c r="I500" s="1" t="s">
        <v>23</v>
      </c>
      <c r="J500" s="1">
        <v>10</v>
      </c>
      <c r="K500" s="1">
        <v>850</v>
      </c>
      <c r="L500" s="1">
        <v>0.05</v>
      </c>
      <c r="M500" s="1" t="s">
        <v>93</v>
      </c>
      <c r="N500" s="1" t="s">
        <v>55</v>
      </c>
    </row>
    <row r="501" spans="1:14" x14ac:dyDescent="0.25">
      <c r="A501" s="1" t="s">
        <v>765</v>
      </c>
      <c r="B501" s="3" t="s">
        <v>255</v>
      </c>
      <c r="C501" s="1" t="s">
        <v>152</v>
      </c>
      <c r="D501" s="1" t="s">
        <v>36</v>
      </c>
      <c r="E501" s="1">
        <v>26</v>
      </c>
      <c r="F501" s="1" t="s">
        <v>20</v>
      </c>
      <c r="G501" s="1" t="s">
        <v>21</v>
      </c>
      <c r="H501" s="1" t="s">
        <v>49</v>
      </c>
      <c r="I501" s="1" t="s">
        <v>50</v>
      </c>
      <c r="J501" s="1">
        <v>9</v>
      </c>
      <c r="K501" s="1">
        <v>120</v>
      </c>
      <c r="L501" s="1">
        <v>0.1</v>
      </c>
      <c r="M501" s="1" t="s">
        <v>31</v>
      </c>
      <c r="N501" s="1"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Pivort</vt:lpstr>
      <vt:lpstr>Dashboard</vt:lpstr>
      <vt:lpstr>Sales Data</vt:lpstr>
      <vt:lpstr>Initial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Muhammed Soliu Abdullahi</cp:lastModifiedBy>
  <cp:revision/>
  <dcterms:created xsi:type="dcterms:W3CDTF">2026-07-04T09:30:16Z</dcterms:created>
  <dcterms:modified xsi:type="dcterms:W3CDTF">2026-08-02T20:34:10Z</dcterms:modified>
  <cp:category/>
  <cp:contentStatus/>
</cp:coreProperties>
</file>